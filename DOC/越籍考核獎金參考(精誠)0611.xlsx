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國瑞SVN\外籍勞工電子考課\USER 提供資料\"/>
    </mc:Choice>
  </mc:AlternateContent>
  <xr:revisionPtr revIDLastSave="0" documentId="13_ncr:1_{3920B524-9F23-496D-9A6F-A9582CACE968}" xr6:coauthVersionLast="47" xr6:coauthVersionMax="47" xr10:uidLastSave="{00000000-0000-0000-0000-000000000000}"/>
  <bookViews>
    <workbookView xWindow="19090" yWindow="-110" windowWidth="19420" windowHeight="10300" xr2:uid="{3EB65539-F16B-4EA9-9EF3-3B1DCE78C5B5}"/>
  </bookViews>
  <sheets>
    <sheet name="獎金公式" sheetId="1" r:id="rId1"/>
    <sheet name="工作表2" sheetId="2" r:id="rId2"/>
  </sheets>
  <definedNames>
    <definedName name="_xlnm._FilterDatabase" localSheetId="0" hidden="1">獎金公式!$A$2:$AA$14</definedName>
    <definedName name="_xlnm.Print_Titles" localSheetId="0">獎金公式!$1:$2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4" i="1" l="1"/>
  <c r="W14" i="1"/>
  <c r="V14" i="1"/>
  <c r="R14" i="1"/>
  <c r="H14" i="1"/>
  <c r="I14" i="1" s="1"/>
  <c r="S14" i="1" s="1"/>
  <c r="X13" i="1"/>
  <c r="W13" i="1"/>
  <c r="V13" i="1"/>
  <c r="R13" i="1"/>
  <c r="H13" i="1"/>
  <c r="I13" i="1" s="1"/>
  <c r="S13" i="1" s="1"/>
  <c r="Z13" i="1" s="1"/>
  <c r="X12" i="1"/>
  <c r="W12" i="1"/>
  <c r="V12" i="1"/>
  <c r="R12" i="1"/>
  <c r="H12" i="1"/>
  <c r="I12" i="1" s="1"/>
  <c r="S12" i="1" s="1"/>
  <c r="X11" i="1"/>
  <c r="W11" i="1"/>
  <c r="V11" i="1"/>
  <c r="R11" i="1"/>
  <c r="H11" i="1"/>
  <c r="I11" i="1" s="1"/>
  <c r="S11" i="1" s="1"/>
  <c r="X10" i="1"/>
  <c r="W10" i="1"/>
  <c r="V10" i="1"/>
  <c r="R10" i="1"/>
  <c r="H10" i="1"/>
  <c r="I10" i="1" s="1"/>
  <c r="S10" i="1" s="1"/>
  <c r="X9" i="1"/>
  <c r="W9" i="1"/>
  <c r="V9" i="1"/>
  <c r="R9" i="1"/>
  <c r="H9" i="1"/>
  <c r="I9" i="1" s="1"/>
  <c r="S9" i="1" s="1"/>
  <c r="Z9" i="1" s="1"/>
  <c r="X8" i="1"/>
  <c r="W8" i="1"/>
  <c r="V8" i="1"/>
  <c r="R8" i="1"/>
  <c r="H8" i="1"/>
  <c r="I8" i="1" s="1"/>
  <c r="S8" i="1" s="1"/>
  <c r="X7" i="1"/>
  <c r="W7" i="1"/>
  <c r="V7" i="1"/>
  <c r="R7" i="1"/>
  <c r="H7" i="1"/>
  <c r="I7" i="1" s="1"/>
  <c r="S7" i="1" s="1"/>
  <c r="X6" i="1"/>
  <c r="W6" i="1"/>
  <c r="V6" i="1"/>
  <c r="R6" i="1"/>
  <c r="H6" i="1"/>
  <c r="I6" i="1" s="1"/>
  <c r="S6" i="1" s="1"/>
  <c r="X5" i="1"/>
  <c r="W5" i="1"/>
  <c r="V5" i="1"/>
  <c r="R5" i="1"/>
  <c r="H5" i="1"/>
  <c r="I5" i="1" s="1"/>
  <c r="S5" i="1" s="1"/>
  <c r="X4" i="1"/>
  <c r="W4" i="1"/>
  <c r="V4" i="1"/>
  <c r="R4" i="1"/>
  <c r="H4" i="1"/>
  <c r="I4" i="1" s="1"/>
  <c r="S4" i="1" s="1"/>
  <c r="X3" i="1"/>
  <c r="W3" i="1"/>
  <c r="V3" i="1"/>
  <c r="R3" i="1"/>
  <c r="H3" i="1"/>
  <c r="I3" i="1" s="1"/>
  <c r="S3" i="1" s="1"/>
  <c r="Y10" i="1" l="1"/>
  <c r="AA10" i="1" s="1"/>
  <c r="Y6" i="1"/>
  <c r="AA6" i="1" s="1"/>
  <c r="Y14" i="1"/>
  <c r="AA14" i="1" s="1"/>
  <c r="Y9" i="1"/>
  <c r="AA9" i="1" s="1"/>
  <c r="Y11" i="1"/>
  <c r="AA11" i="1" s="1"/>
  <c r="Y12" i="1"/>
  <c r="AA12" i="1" s="1"/>
  <c r="Y5" i="1"/>
  <c r="AA5" i="1" s="1"/>
  <c r="Y4" i="1"/>
  <c r="AA4" i="1" s="1"/>
  <c r="Y8" i="1"/>
  <c r="AA8" i="1" s="1"/>
  <c r="Y3" i="1"/>
  <c r="AA3" i="1" s="1"/>
  <c r="Y13" i="1"/>
  <c r="AA13" i="1" s="1"/>
  <c r="Y7" i="1"/>
  <c r="AA7" i="1" s="1"/>
</calcChain>
</file>

<file path=xl/sharedStrings.xml><?xml version="1.0" encoding="utf-8"?>
<sst xmlns="http://schemas.openxmlformats.org/spreadsheetml/2006/main" count="81" uniqueCount="58">
  <si>
    <t>2025年越籍社員考核實施結果及激勵金明細</t>
    <phoneticPr fontId="3" type="noConversion"/>
  </si>
  <si>
    <t>No.</t>
    <phoneticPr fontId="7" type="noConversion"/>
  </si>
  <si>
    <t>部門</t>
    <phoneticPr fontId="3" type="noConversion"/>
  </si>
  <si>
    <t>課名</t>
  </si>
  <si>
    <t>工號</t>
  </si>
  <si>
    <t>姓名</t>
  </si>
  <si>
    <t>入社日期</t>
  </si>
  <si>
    <t>年資最終日</t>
    <phoneticPr fontId="3" type="noConversion"/>
  </si>
  <si>
    <t>在職天數</t>
    <phoneticPr fontId="3" type="noConversion"/>
  </si>
  <si>
    <t>年資</t>
    <phoneticPr fontId="3" type="noConversion"/>
  </si>
  <si>
    <t>事假
(H)</t>
  </si>
  <si>
    <t>病假
(H)</t>
  </si>
  <si>
    <t>曠職
(日)</t>
    <phoneticPr fontId="3" type="noConversion"/>
  </si>
  <si>
    <t>遲到/早退
(次)</t>
  </si>
  <si>
    <t>獎懲</t>
    <phoneticPr fontId="3" type="noConversion"/>
  </si>
  <si>
    <t>評價(分數)</t>
    <phoneticPr fontId="3" type="noConversion"/>
  </si>
  <si>
    <t>今回
考核</t>
    <phoneticPr fontId="3" type="noConversion"/>
  </si>
  <si>
    <t>獎懲說明</t>
    <phoneticPr fontId="7" type="noConversion"/>
  </si>
  <si>
    <t>考核
係數</t>
    <phoneticPr fontId="3" type="noConversion"/>
  </si>
  <si>
    <t>年資
獎金</t>
    <phoneticPr fontId="3" type="noConversion"/>
  </si>
  <si>
    <t>2025
起日</t>
    <phoneticPr fontId="3" type="noConversion"/>
  </si>
  <si>
    <t>2025
迄日</t>
    <phoneticPr fontId="3" type="noConversion"/>
  </si>
  <si>
    <t>2025年在職天數
(1/1~12/31)</t>
    <phoneticPr fontId="3" type="noConversion"/>
  </si>
  <si>
    <t>事假
扣除天數</t>
    <phoneticPr fontId="3" type="noConversion"/>
  </si>
  <si>
    <t>有薪病假
扣除天數</t>
    <phoneticPr fontId="3" type="noConversion"/>
  </si>
  <si>
    <t>實際在職天數</t>
    <phoneticPr fontId="3" type="noConversion"/>
  </si>
  <si>
    <t>紀律
扣除金額</t>
    <phoneticPr fontId="3" type="noConversion"/>
  </si>
  <si>
    <t>考核
激勵金計算</t>
    <phoneticPr fontId="3" type="noConversion"/>
  </si>
  <si>
    <t>C</t>
  </si>
  <si>
    <t>中壢第一製造部</t>
  </si>
  <si>
    <t>中壢車身課</t>
  </si>
  <si>
    <t>陳日玲</t>
  </si>
  <si>
    <t>D</t>
  </si>
  <si>
    <t>B</t>
  </si>
  <si>
    <t>阮日善</t>
  </si>
  <si>
    <t>A</t>
  </si>
  <si>
    <t>中壢第二製造部</t>
  </si>
  <si>
    <t>中壢塗裝課</t>
  </si>
  <si>
    <t>楊文勝</t>
  </si>
  <si>
    <t>陳庭海</t>
  </si>
  <si>
    <t>中壢裝配課</t>
  </si>
  <si>
    <t>中壢物流課</t>
  </si>
  <si>
    <t>武明幸</t>
  </si>
  <si>
    <t>何文強</t>
  </si>
  <si>
    <t>黎文峽</t>
  </si>
  <si>
    <t>小過*1</t>
    <phoneticPr fontId="3" type="noConversion"/>
  </si>
  <si>
    <t>阮文松</t>
  </si>
  <si>
    <t>潘名長</t>
  </si>
  <si>
    <t>黃友元</t>
  </si>
  <si>
    <t>莫文王</t>
  </si>
  <si>
    <t>E</t>
  </si>
  <si>
    <t>觀音第一製造部</t>
  </si>
  <si>
    <t>觀音車身課</t>
  </si>
  <si>
    <t>阮長江</t>
  </si>
  <si>
    <t>固定年底/2.年末考課</t>
    <phoneticPr fontId="3" type="noConversion"/>
  </si>
  <si>
    <t>若二回考核,獎金只跟著年末考核</t>
    <phoneticPr fontId="3" type="noConversion"/>
  </si>
  <si>
    <t>看假別設定</t>
    <phoneticPr fontId="3" type="noConversion"/>
  </si>
  <si>
    <t>依年度實際天數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</si>
</sst>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#,##0.00_);[Red]\(#,##0.00\)"/>
    <numFmt numFmtId="178" formatCode="_-* #,##0_-;\-* #,##0_-;_-* &quot;-&quot;??_-;_-@_-"/>
    <numFmt numFmtId="179" formatCode="yyyy/mm/dd"/>
    <numFmt numFmtId="180" formatCode="0_);[Red]\(0\)"/>
    <numFmt numFmtId="181" formatCode="0.0_);[Red]\(0.0\)"/>
    <numFmt numFmtId="182" formatCode="#,##0_);[Red]\(#,##0\)"/>
  </numFmts>
  <fonts count="14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20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u/>
      <sz val="2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9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8"/>
      <name val="新細明體"/>
      <family val="2"/>
      <scheme val="minor"/>
    </font>
    <font>
      <sz val="11"/>
      <name val="新細明體"/>
      <family val="2"/>
      <scheme val="minor"/>
    </font>
    <font>
      <sz val="11"/>
      <name val="PMingLiU"/>
      <family val="1"/>
      <charset val="136"/>
    </font>
    <font>
      <sz val="11"/>
      <name val="微軟正黑體"/>
      <family val="2"/>
      <charset val="136"/>
    </font>
    <font>
      <sz val="11"/>
      <color rgb="FFFF0000"/>
      <name val="新細明體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>
      <alignment vertical="center"/>
    </xf>
    <xf numFmtId="0" fontId="5" fillId="0" borderId="0"/>
    <xf numFmtId="0" fontId="8" fillId="0" borderId="0">
      <alignment horizontal="left"/>
    </xf>
    <xf numFmtId="0" fontId="9" fillId="0" borderId="0">
      <alignment vertical="center"/>
    </xf>
    <xf numFmtId="49" fontId="8" fillId="0" borderId="0">
      <alignment horizontal="left"/>
    </xf>
    <xf numFmtId="49" fontId="11" fillId="0" borderId="0"/>
    <xf numFmtId="49" fontId="11" fillId="0" borderId="0"/>
  </cellStyleXfs>
  <cellXfs count="45">
    <xf numFmtId="0" fontId="0" fillId="0" borderId="0" xfId="0"/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0" borderId="0" xfId="0" applyFont="1"/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14" fontId="6" fillId="0" borderId="6" xfId="3" applyNumberFormat="1" applyFont="1" applyBorder="1" applyAlignment="1">
      <alignment horizontal="center" vertical="center"/>
    </xf>
    <xf numFmtId="176" fontId="6" fillId="0" borderId="6" xfId="3" applyNumberFormat="1" applyFont="1" applyBorder="1" applyAlignment="1">
      <alignment horizontal="center" vertical="center"/>
    </xf>
    <xf numFmtId="176" fontId="6" fillId="0" borderId="6" xfId="3" applyNumberFormat="1" applyFont="1" applyBorder="1" applyAlignment="1">
      <alignment horizontal="center" vertical="center" wrapText="1"/>
    </xf>
    <xf numFmtId="0" fontId="6" fillId="2" borderId="7" xfId="2" applyFont="1" applyFill="1" applyBorder="1" applyAlignment="1">
      <alignment horizontal="center" vertical="center" wrapText="1"/>
    </xf>
    <xf numFmtId="0" fontId="6" fillId="2" borderId="8" xfId="2" applyFont="1" applyFill="1" applyBorder="1" applyAlignment="1">
      <alignment horizontal="center" vertical="center" wrapText="1"/>
    </xf>
    <xf numFmtId="0" fontId="6" fillId="2" borderId="9" xfId="2" applyFont="1" applyFill="1" applyBorder="1" applyAlignment="1">
      <alignment horizontal="center" vertical="center" wrapText="1"/>
    </xf>
    <xf numFmtId="0" fontId="6" fillId="3" borderId="10" xfId="2" applyFont="1" applyFill="1" applyBorder="1" applyAlignment="1">
      <alignment horizontal="center" vertical="center" wrapText="1"/>
    </xf>
    <xf numFmtId="0" fontId="6" fillId="4" borderId="6" xfId="2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6" fillId="0" borderId="8" xfId="4" quotePrefix="1" applyFont="1" applyBorder="1" applyAlignment="1">
      <alignment horizontal="center" vertical="center" wrapText="1"/>
    </xf>
    <xf numFmtId="0" fontId="6" fillId="0" borderId="8" xfId="4" applyFont="1" applyBorder="1" applyAlignment="1">
      <alignment horizontal="center" vertical="center" wrapText="1"/>
    </xf>
    <xf numFmtId="178" fontId="6" fillId="0" borderId="12" xfId="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9" fontId="6" fillId="0" borderId="6" xfId="5" applyFont="1" applyBorder="1" applyAlignment="1">
      <alignment horizontal="center" vertical="center"/>
    </xf>
    <xf numFmtId="0" fontId="6" fillId="0" borderId="6" xfId="6" applyNumberFormat="1" applyFont="1" applyBorder="1" applyAlignment="1">
      <alignment horizontal="center" vertical="center"/>
    </xf>
    <xf numFmtId="49" fontId="6" fillId="0" borderId="6" xfId="7" applyFont="1" applyBorder="1" applyAlignment="1">
      <alignment horizontal="center" vertical="center"/>
    </xf>
    <xf numFmtId="179" fontId="6" fillId="0" borderId="6" xfId="3" applyNumberFormat="1" applyFont="1" applyBorder="1" applyAlignment="1">
      <alignment horizontal="center" vertical="center"/>
    </xf>
    <xf numFmtId="180" fontId="6" fillId="0" borderId="6" xfId="3" applyNumberFormat="1" applyFont="1" applyBorder="1" applyAlignment="1">
      <alignment horizontal="center" vertical="center"/>
    </xf>
    <xf numFmtId="181" fontId="6" fillId="0" borderId="13" xfId="7" applyNumberFormat="1" applyFont="1" applyBorder="1" applyAlignment="1">
      <alignment horizontal="center" vertical="center"/>
    </xf>
    <xf numFmtId="181" fontId="6" fillId="0" borderId="6" xfId="7" applyNumberFormat="1" applyFont="1" applyBorder="1" applyAlignment="1">
      <alignment horizontal="center" vertical="center"/>
    </xf>
    <xf numFmtId="0" fontId="6" fillId="0" borderId="14" xfId="7" applyNumberFormat="1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82" fontId="6" fillId="0" borderId="6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178" fontId="6" fillId="0" borderId="15" xfId="1" applyNumberFormat="1" applyFont="1" applyBorder="1" applyAlignment="1">
      <alignment horizontal="center" vertical="center"/>
    </xf>
    <xf numFmtId="0" fontId="10" fillId="0" borderId="0" xfId="0" applyFont="1"/>
    <xf numFmtId="176" fontId="10" fillId="0" borderId="0" xfId="0" applyNumberFormat="1" applyFont="1"/>
    <xf numFmtId="0" fontId="6" fillId="0" borderId="0" xfId="0" applyFont="1" applyAlignment="1">
      <alignment horizontal="center"/>
    </xf>
    <xf numFmtId="177" fontId="6" fillId="0" borderId="0" xfId="0" applyNumberFormat="1" applyFont="1" applyAlignment="1">
      <alignment horizontal="center"/>
    </xf>
    <xf numFmtId="178" fontId="6" fillId="0" borderId="0" xfId="1" applyNumberFormat="1" applyFont="1" applyAlignment="1">
      <alignment horizontal="center"/>
    </xf>
    <xf numFmtId="0" fontId="13" fillId="0" borderId="0" xfId="0" applyFont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8">
    <cellStyle name="Style0" xfId="6" xr:uid="{B51E9E5F-B4F3-49F7-95C9-6FE64C64BF62}"/>
    <cellStyle name="Style1" xfId="7" xr:uid="{2AC586A0-16CA-42FB-9D07-FEE4C80504DB}"/>
    <cellStyle name="Style11" xfId="5" xr:uid="{363D8358-5F1B-4721-9035-77EEC454A613}"/>
    <cellStyle name="Style28" xfId="3" xr:uid="{90AA5C7B-382B-43DD-9BF2-373DA1AFA3DC}"/>
    <cellStyle name="一般" xfId="0" builtinId="0"/>
    <cellStyle name="一般 2" xfId="2" xr:uid="{362D41A0-3A0E-491C-BFEB-710A899CB569}"/>
    <cellStyle name="一般 3" xfId="4" xr:uid="{BD1D443E-D85B-4481-9241-5380CF253E79}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17790</xdr:colOff>
      <xdr:row>9</xdr:row>
      <xdr:rowOff>95031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7C32E09-0AFD-50D9-EA17-562E6C471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76190" cy="17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06A3-B52A-454B-9C02-C04BA838C159}">
  <dimension ref="A1:AA17"/>
  <sheetViews>
    <sheetView showGridLines="0" tabSelected="1" zoomScale="85" zoomScaleNormal="85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Z20" sqref="Z20"/>
    </sheetView>
  </sheetViews>
  <sheetFormatPr defaultColWidth="9" defaultRowHeight="15.5"/>
  <cols>
    <col min="1" max="1" width="9" style="37"/>
    <col min="2" max="2" width="20.19921875" style="37" customWidth="1"/>
    <col min="3" max="3" width="23.5" style="37" customWidth="1"/>
    <col min="4" max="4" width="9.19921875" style="37" customWidth="1"/>
    <col min="5" max="5" width="11.8984375" style="37" customWidth="1"/>
    <col min="6" max="7" width="16.3984375" style="37" customWidth="1"/>
    <col min="8" max="8" width="11.796875" style="38" customWidth="1"/>
    <col min="9" max="9" width="10.09765625" style="38" customWidth="1"/>
    <col min="10" max="12" width="9" style="37" customWidth="1"/>
    <col min="13" max="13" width="13" style="37" customWidth="1"/>
    <col min="14" max="14" width="19.09765625" style="37" customWidth="1"/>
    <col min="15" max="15" width="16.59765625" style="37" customWidth="1"/>
    <col min="16" max="16" width="10.09765625" style="37" customWidth="1"/>
    <col min="17" max="17" width="9.765625E-2" style="37" customWidth="1"/>
    <col min="18" max="18" width="9.19921875" style="39" customWidth="1"/>
    <col min="19" max="19" width="14.19921875" style="40" bestFit="1" customWidth="1"/>
    <col min="20" max="20" width="16.59765625" style="39" customWidth="1"/>
    <col min="21" max="21" width="16.3984375" style="39" customWidth="1"/>
    <col min="22" max="22" width="21.5" style="39" customWidth="1"/>
    <col min="23" max="23" width="11.69921875" style="39" customWidth="1"/>
    <col min="24" max="24" width="12.5" style="39" customWidth="1"/>
    <col min="25" max="25" width="9.09765625" style="39" bestFit="1" customWidth="1"/>
    <col min="26" max="26" width="14.796875" style="39" customWidth="1"/>
    <col min="27" max="27" width="22.19921875" style="41" bestFit="1" customWidth="1"/>
    <col min="28" max="16384" width="9" style="37"/>
  </cols>
  <sheetData>
    <row r="1" spans="1:27" s="3" customFormat="1" ht="41.4" customHeight="1" thickTop="1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3"/>
      <c r="S1" s="43"/>
      <c r="T1" s="43"/>
      <c r="U1" s="43"/>
      <c r="V1" s="43"/>
      <c r="W1" s="43"/>
      <c r="X1" s="43"/>
      <c r="Y1" s="43"/>
      <c r="Z1" s="43"/>
      <c r="AA1" s="44"/>
    </row>
    <row r="2" spans="1:27" s="21" customFormat="1" ht="42.6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6" t="s">
        <v>7</v>
      </c>
      <c r="H2" s="7" t="s">
        <v>8</v>
      </c>
      <c r="I2" s="8" t="s">
        <v>9</v>
      </c>
      <c r="J2" s="9" t="s">
        <v>10</v>
      </c>
      <c r="K2" s="10" t="s">
        <v>11</v>
      </c>
      <c r="L2" s="10" t="s">
        <v>12</v>
      </c>
      <c r="M2" s="10" t="s">
        <v>13</v>
      </c>
      <c r="N2" s="11" t="s">
        <v>14</v>
      </c>
      <c r="O2" s="12" t="s">
        <v>15</v>
      </c>
      <c r="P2" s="13" t="s">
        <v>16</v>
      </c>
      <c r="Q2" s="14" t="s">
        <v>17</v>
      </c>
      <c r="R2" s="15" t="s">
        <v>18</v>
      </c>
      <c r="S2" s="16" t="s">
        <v>19</v>
      </c>
      <c r="T2" s="17" t="s">
        <v>20</v>
      </c>
      <c r="U2" s="18" t="s">
        <v>21</v>
      </c>
      <c r="V2" s="18" t="s">
        <v>22</v>
      </c>
      <c r="W2" s="19" t="s">
        <v>23</v>
      </c>
      <c r="X2" s="19" t="s">
        <v>24</v>
      </c>
      <c r="Y2" s="19" t="s">
        <v>25</v>
      </c>
      <c r="Z2" s="19" t="s">
        <v>26</v>
      </c>
      <c r="AA2" s="20" t="s">
        <v>27</v>
      </c>
    </row>
    <row r="3" spans="1:27" s="21" customFormat="1">
      <c r="A3" s="4">
        <v>5</v>
      </c>
      <c r="B3" s="5" t="s">
        <v>29</v>
      </c>
      <c r="C3" s="22" t="s">
        <v>30</v>
      </c>
      <c r="D3" s="23">
        <v>30310</v>
      </c>
      <c r="E3" s="24" t="s">
        <v>31</v>
      </c>
      <c r="F3" s="25">
        <v>44830</v>
      </c>
      <c r="G3" s="25">
        <v>46022</v>
      </c>
      <c r="H3" s="26">
        <f t="shared" ref="H3:H6" si="0">G3-F3+1</f>
        <v>1193</v>
      </c>
      <c r="I3" s="7">
        <f t="shared" ref="I3:I6" si="1">H3/365</f>
        <v>3.2684931506849315</v>
      </c>
      <c r="J3" s="27">
        <v>17.5</v>
      </c>
      <c r="K3" s="28">
        <v>8</v>
      </c>
      <c r="L3" s="28"/>
      <c r="M3" s="28"/>
      <c r="N3" s="29"/>
      <c r="O3" s="30">
        <v>55</v>
      </c>
      <c r="P3" s="31" t="s">
        <v>32</v>
      </c>
      <c r="Q3" s="32"/>
      <c r="R3" s="33">
        <f>LOOKUP(P3,{"A","B","C","D","E"},{1.2,1.1,1,0.9,0.8})</f>
        <v>0.9</v>
      </c>
      <c r="S3" s="34">
        <f>LOOKUP(I3,{0,1,2,3},{24000,28000,32000,42000})</f>
        <v>42000</v>
      </c>
      <c r="T3" s="35">
        <v>45658</v>
      </c>
      <c r="U3" s="35">
        <v>46022</v>
      </c>
      <c r="V3" s="33">
        <f t="shared" ref="V3:V6" si="2">(U3-T3)+1</f>
        <v>365</v>
      </c>
      <c r="W3" s="33">
        <f t="shared" ref="W3:W6" si="3">J3/8</f>
        <v>2.1875</v>
      </c>
      <c r="X3" s="33">
        <f t="shared" ref="X3:X6" si="4">IF(K3&lt;=240, K3/8/2, 240/8/2 + ((K3-240)/8))</f>
        <v>0.5</v>
      </c>
      <c r="Y3" s="33">
        <f t="shared" ref="Y3:Y6" si="5">V3-W3-X3</f>
        <v>362.3125</v>
      </c>
      <c r="Z3" s="33"/>
      <c r="AA3" s="36">
        <f t="shared" ref="AA3:AA6" si="6">(ROUNDUP((R3*S3)*(Y3/365),0))-Z3</f>
        <v>37522</v>
      </c>
    </row>
    <row r="4" spans="1:27" s="21" customFormat="1">
      <c r="A4" s="4">
        <v>9</v>
      </c>
      <c r="B4" s="5" t="s">
        <v>29</v>
      </c>
      <c r="C4" s="22" t="s">
        <v>30</v>
      </c>
      <c r="D4" s="23">
        <v>29284</v>
      </c>
      <c r="E4" s="24" t="s">
        <v>34</v>
      </c>
      <c r="F4" s="25">
        <v>44262</v>
      </c>
      <c r="G4" s="25">
        <v>46022</v>
      </c>
      <c r="H4" s="26">
        <f t="shared" si="0"/>
        <v>1761</v>
      </c>
      <c r="I4" s="7">
        <f t="shared" si="1"/>
        <v>4.8246575342465752</v>
      </c>
      <c r="J4" s="27"/>
      <c r="K4" s="28"/>
      <c r="L4" s="28"/>
      <c r="M4" s="28"/>
      <c r="N4" s="29"/>
      <c r="O4" s="30">
        <v>98</v>
      </c>
      <c r="P4" s="31" t="s">
        <v>35</v>
      </c>
      <c r="Q4" s="32"/>
      <c r="R4" s="33">
        <f>LOOKUP(P4,{"A","B","C","D","E"},{1.2,1.1,1,0.9,0.8})</f>
        <v>1.2</v>
      </c>
      <c r="S4" s="34">
        <f>LOOKUP(I4,{0,1,2,3},{24000,28000,32000,42000})</f>
        <v>42000</v>
      </c>
      <c r="T4" s="35">
        <v>45658</v>
      </c>
      <c r="U4" s="35">
        <v>46022</v>
      </c>
      <c r="V4" s="33">
        <f t="shared" si="2"/>
        <v>365</v>
      </c>
      <c r="W4" s="33">
        <f t="shared" si="3"/>
        <v>0</v>
      </c>
      <c r="X4" s="33">
        <f t="shared" si="4"/>
        <v>0</v>
      </c>
      <c r="Y4" s="33">
        <f t="shared" si="5"/>
        <v>365</v>
      </c>
      <c r="Z4" s="33"/>
      <c r="AA4" s="36">
        <f t="shared" si="6"/>
        <v>50400</v>
      </c>
    </row>
    <row r="5" spans="1:27" s="21" customFormat="1">
      <c r="A5" s="4">
        <v>14</v>
      </c>
      <c r="B5" s="5" t="s">
        <v>36</v>
      </c>
      <c r="C5" s="22" t="s">
        <v>37</v>
      </c>
      <c r="D5" s="23">
        <v>30642</v>
      </c>
      <c r="E5" s="24" t="s">
        <v>38</v>
      </c>
      <c r="F5" s="25">
        <v>44922</v>
      </c>
      <c r="G5" s="25">
        <v>46022</v>
      </c>
      <c r="H5" s="26">
        <f t="shared" si="0"/>
        <v>1101</v>
      </c>
      <c r="I5" s="7">
        <f t="shared" si="1"/>
        <v>3.0164383561643837</v>
      </c>
      <c r="J5" s="27"/>
      <c r="K5" s="28"/>
      <c r="L5" s="28"/>
      <c r="M5" s="28"/>
      <c r="N5" s="29"/>
      <c r="O5" s="30">
        <v>57</v>
      </c>
      <c r="P5" s="31" t="s">
        <v>32</v>
      </c>
      <c r="Q5" s="32"/>
      <c r="R5" s="33">
        <f>LOOKUP(P5,{"A","B","C","D","E"},{1.2,1.1,1,0.9,0.8})</f>
        <v>0.9</v>
      </c>
      <c r="S5" s="34">
        <f>LOOKUP(I5,{0,1,2,3},{24000,28000,32000,42000})</f>
        <v>42000</v>
      </c>
      <c r="T5" s="35">
        <v>45658</v>
      </c>
      <c r="U5" s="35">
        <v>46022</v>
      </c>
      <c r="V5" s="33">
        <f t="shared" si="2"/>
        <v>365</v>
      </c>
      <c r="W5" s="33">
        <f t="shared" si="3"/>
        <v>0</v>
      </c>
      <c r="X5" s="33">
        <f t="shared" si="4"/>
        <v>0</v>
      </c>
      <c r="Y5" s="33">
        <f t="shared" si="5"/>
        <v>365</v>
      </c>
      <c r="Z5" s="33"/>
      <c r="AA5" s="36">
        <f t="shared" si="6"/>
        <v>37800</v>
      </c>
    </row>
    <row r="6" spans="1:27" s="21" customFormat="1">
      <c r="A6" s="4">
        <v>45</v>
      </c>
      <c r="B6" s="5" t="s">
        <v>29</v>
      </c>
      <c r="C6" s="22" t="s">
        <v>30</v>
      </c>
      <c r="D6" s="23">
        <v>31676</v>
      </c>
      <c r="E6" s="24" t="s">
        <v>39</v>
      </c>
      <c r="F6" s="25">
        <v>45704</v>
      </c>
      <c r="G6" s="25">
        <v>46022</v>
      </c>
      <c r="H6" s="26">
        <f t="shared" si="0"/>
        <v>319</v>
      </c>
      <c r="I6" s="7">
        <f t="shared" si="1"/>
        <v>0.87397260273972599</v>
      </c>
      <c r="J6" s="27">
        <v>4</v>
      </c>
      <c r="K6" s="28"/>
      <c r="L6" s="28"/>
      <c r="M6" s="28"/>
      <c r="N6" s="29"/>
      <c r="O6" s="30">
        <v>89</v>
      </c>
      <c r="P6" s="31" t="s">
        <v>33</v>
      </c>
      <c r="Q6" s="32"/>
      <c r="R6" s="33">
        <f>LOOKUP(P6,{"A","B","C","D","E"},{1.2,1.1,1,0.9,0.8})</f>
        <v>1.1000000000000001</v>
      </c>
      <c r="S6" s="34">
        <f>LOOKUP(I6,{0,1,2,3},{24000,28000,32000,42000})</f>
        <v>24000</v>
      </c>
      <c r="T6" s="35">
        <v>45704</v>
      </c>
      <c r="U6" s="35">
        <v>46022</v>
      </c>
      <c r="V6" s="33">
        <f t="shared" si="2"/>
        <v>319</v>
      </c>
      <c r="W6" s="33">
        <f t="shared" si="3"/>
        <v>0.5</v>
      </c>
      <c r="X6" s="33">
        <f t="shared" si="4"/>
        <v>0</v>
      </c>
      <c r="Y6" s="33">
        <f t="shared" si="5"/>
        <v>318.5</v>
      </c>
      <c r="Z6" s="33"/>
      <c r="AA6" s="36">
        <f t="shared" si="6"/>
        <v>23037</v>
      </c>
    </row>
    <row r="7" spans="1:27" s="21" customFormat="1">
      <c r="A7" s="4">
        <v>79</v>
      </c>
      <c r="B7" s="5" t="s">
        <v>36</v>
      </c>
      <c r="C7" s="22" t="s">
        <v>37</v>
      </c>
      <c r="D7" s="23">
        <v>30638</v>
      </c>
      <c r="E7" s="24" t="s">
        <v>42</v>
      </c>
      <c r="F7" s="25">
        <v>44922</v>
      </c>
      <c r="G7" s="25">
        <v>46022</v>
      </c>
      <c r="H7" s="26">
        <f t="shared" ref="H7:H12" si="7">G7-F7+1</f>
        <v>1101</v>
      </c>
      <c r="I7" s="7">
        <f t="shared" ref="I7:I12" si="8">H7/365</f>
        <v>3.0164383561643837</v>
      </c>
      <c r="J7" s="27"/>
      <c r="K7" s="28"/>
      <c r="L7" s="28"/>
      <c r="M7" s="28"/>
      <c r="N7" s="29"/>
      <c r="O7" s="30">
        <v>68</v>
      </c>
      <c r="P7" s="31" t="s">
        <v>28</v>
      </c>
      <c r="Q7" s="32"/>
      <c r="R7" s="33">
        <f>LOOKUP(P7,{"A","B","C","D","E"},{1.2,1.1,1,0.9,0.8})</f>
        <v>1</v>
      </c>
      <c r="S7" s="34">
        <f>LOOKUP(I7,{0,1,2,3},{24000,28000,32000,42000})</f>
        <v>42000</v>
      </c>
      <c r="T7" s="35">
        <v>45658</v>
      </c>
      <c r="U7" s="35">
        <v>46022</v>
      </c>
      <c r="V7" s="33">
        <f t="shared" ref="V7:V12" si="9">(U7-T7)+1</f>
        <v>365</v>
      </c>
      <c r="W7" s="33">
        <f t="shared" ref="W7:W12" si="10">J7/8</f>
        <v>0</v>
      </c>
      <c r="X7" s="33">
        <f t="shared" ref="X7:X12" si="11">IF(K7&lt;=240, K7/8/2, 240/8/2 + ((K7-240)/8))</f>
        <v>0</v>
      </c>
      <c r="Y7" s="33">
        <f t="shared" ref="Y7:Y12" si="12">V7-W7-X7</f>
        <v>365</v>
      </c>
      <c r="Z7" s="33"/>
      <c r="AA7" s="36">
        <f t="shared" ref="AA7:AA12" si="13">(ROUNDUP((R7*S7)*(Y7/365),0))-Z7</f>
        <v>42000</v>
      </c>
    </row>
    <row r="8" spans="1:27" s="21" customFormat="1">
      <c r="A8" s="4">
        <v>80</v>
      </c>
      <c r="B8" s="5" t="s">
        <v>36</v>
      </c>
      <c r="C8" s="22" t="s">
        <v>41</v>
      </c>
      <c r="D8" s="23">
        <v>30639</v>
      </c>
      <c r="E8" s="24" t="s">
        <v>43</v>
      </c>
      <c r="F8" s="25">
        <v>44922</v>
      </c>
      <c r="G8" s="25">
        <v>46022</v>
      </c>
      <c r="H8" s="26">
        <f t="shared" si="7"/>
        <v>1101</v>
      </c>
      <c r="I8" s="7">
        <f t="shared" si="8"/>
        <v>3.0164383561643837</v>
      </c>
      <c r="J8" s="27"/>
      <c r="K8" s="28"/>
      <c r="L8" s="28"/>
      <c r="M8" s="28"/>
      <c r="N8" s="29"/>
      <c r="O8" s="30">
        <v>79</v>
      </c>
      <c r="P8" s="31" t="s">
        <v>28</v>
      </c>
      <c r="Q8" s="32"/>
      <c r="R8" s="33">
        <f>LOOKUP(P8,{"A","B","C","D","E"},{1.2,1.1,1,0.9,0.8})</f>
        <v>1</v>
      </c>
      <c r="S8" s="34">
        <f>LOOKUP(I8,{0,1,2,3},{24000,28000,32000,42000})</f>
        <v>42000</v>
      </c>
      <c r="T8" s="35">
        <v>45658</v>
      </c>
      <c r="U8" s="35">
        <v>46022</v>
      </c>
      <c r="V8" s="33">
        <f t="shared" si="9"/>
        <v>365</v>
      </c>
      <c r="W8" s="33">
        <f t="shared" si="10"/>
        <v>0</v>
      </c>
      <c r="X8" s="33">
        <f t="shared" si="11"/>
        <v>0</v>
      </c>
      <c r="Y8" s="33">
        <f t="shared" si="12"/>
        <v>365</v>
      </c>
      <c r="Z8" s="33"/>
      <c r="AA8" s="36">
        <f t="shared" si="13"/>
        <v>42000</v>
      </c>
    </row>
    <row r="9" spans="1:27" s="21" customFormat="1">
      <c r="A9" s="4">
        <v>83</v>
      </c>
      <c r="B9" s="5" t="s">
        <v>36</v>
      </c>
      <c r="C9" s="22" t="s">
        <v>37</v>
      </c>
      <c r="D9" s="23">
        <v>30647</v>
      </c>
      <c r="E9" s="24" t="s">
        <v>44</v>
      </c>
      <c r="F9" s="25">
        <v>44922</v>
      </c>
      <c r="G9" s="25">
        <v>46022</v>
      </c>
      <c r="H9" s="26">
        <f t="shared" si="7"/>
        <v>1101</v>
      </c>
      <c r="I9" s="7">
        <f t="shared" si="8"/>
        <v>3.0164383561643837</v>
      </c>
      <c r="J9" s="27">
        <v>59</v>
      </c>
      <c r="K9" s="28">
        <v>24</v>
      </c>
      <c r="L9" s="28">
        <v>2</v>
      </c>
      <c r="M9" s="28"/>
      <c r="N9" s="29" t="s">
        <v>45</v>
      </c>
      <c r="O9" s="30">
        <v>73</v>
      </c>
      <c r="P9" s="31" t="s">
        <v>28</v>
      </c>
      <c r="Q9" s="32"/>
      <c r="R9" s="33">
        <f>LOOKUP(P9,{"A","B","C","D","E"},{1.2,1.1,1,0.9,0.8})</f>
        <v>1</v>
      </c>
      <c r="S9" s="34">
        <f>LOOKUP(I9,{0,1,2,3},{24000,28000,32000,42000})</f>
        <v>42000</v>
      </c>
      <c r="T9" s="35">
        <v>45658</v>
      </c>
      <c r="U9" s="35">
        <v>46022</v>
      </c>
      <c r="V9" s="33">
        <f t="shared" si="9"/>
        <v>365</v>
      </c>
      <c r="W9" s="33">
        <f t="shared" si="10"/>
        <v>7.375</v>
      </c>
      <c r="X9" s="33">
        <f t="shared" si="11"/>
        <v>1.5</v>
      </c>
      <c r="Y9" s="33">
        <f t="shared" si="12"/>
        <v>356.125</v>
      </c>
      <c r="Z9" s="33">
        <f>(S9*2%)+(S9*1%)</f>
        <v>1260</v>
      </c>
      <c r="AA9" s="36">
        <f t="shared" si="13"/>
        <v>39719</v>
      </c>
    </row>
    <row r="10" spans="1:27" s="21" customFormat="1">
      <c r="A10" s="4">
        <v>91</v>
      </c>
      <c r="B10" s="5" t="s">
        <v>36</v>
      </c>
      <c r="C10" s="22" t="s">
        <v>40</v>
      </c>
      <c r="D10" s="23">
        <v>30897</v>
      </c>
      <c r="E10" s="24" t="s">
        <v>46</v>
      </c>
      <c r="F10" s="25">
        <v>45014</v>
      </c>
      <c r="G10" s="25">
        <v>46022</v>
      </c>
      <c r="H10" s="26">
        <f t="shared" si="7"/>
        <v>1009</v>
      </c>
      <c r="I10" s="7">
        <f t="shared" si="8"/>
        <v>2.7643835616438355</v>
      </c>
      <c r="J10" s="27"/>
      <c r="K10" s="28">
        <v>88</v>
      </c>
      <c r="L10" s="28"/>
      <c r="M10" s="28"/>
      <c r="N10" s="29"/>
      <c r="O10" s="30">
        <v>91</v>
      </c>
      <c r="P10" s="31" t="s">
        <v>35</v>
      </c>
      <c r="Q10" s="32"/>
      <c r="R10" s="33">
        <f>LOOKUP(P10,{"A","B","C","D","E"},{1.2,1.1,1,0.9,0.8})</f>
        <v>1.2</v>
      </c>
      <c r="S10" s="34">
        <f>LOOKUP(I10,{0,1,2,3},{24000,28000,32000,42000})</f>
        <v>32000</v>
      </c>
      <c r="T10" s="35">
        <v>45658</v>
      </c>
      <c r="U10" s="35">
        <v>46022</v>
      </c>
      <c r="V10" s="33">
        <f t="shared" si="9"/>
        <v>365</v>
      </c>
      <c r="W10" s="33">
        <f t="shared" si="10"/>
        <v>0</v>
      </c>
      <c r="X10" s="33">
        <f t="shared" si="11"/>
        <v>5.5</v>
      </c>
      <c r="Y10" s="33">
        <f t="shared" si="12"/>
        <v>359.5</v>
      </c>
      <c r="Z10" s="33"/>
      <c r="AA10" s="36">
        <f t="shared" si="13"/>
        <v>37822</v>
      </c>
    </row>
    <row r="11" spans="1:27" s="21" customFormat="1">
      <c r="A11" s="4">
        <v>109</v>
      </c>
      <c r="B11" s="5" t="s">
        <v>36</v>
      </c>
      <c r="C11" s="22" t="s">
        <v>40</v>
      </c>
      <c r="D11" s="23">
        <v>31094</v>
      </c>
      <c r="E11" s="24" t="s">
        <v>47</v>
      </c>
      <c r="F11" s="25">
        <v>45160</v>
      </c>
      <c r="G11" s="25">
        <v>46022</v>
      </c>
      <c r="H11" s="26">
        <f t="shared" si="7"/>
        <v>863</v>
      </c>
      <c r="I11" s="7">
        <f t="shared" si="8"/>
        <v>2.3643835616438356</v>
      </c>
      <c r="J11" s="27"/>
      <c r="K11" s="28">
        <v>16</v>
      </c>
      <c r="L11" s="28"/>
      <c r="M11" s="28"/>
      <c r="N11" s="29"/>
      <c r="O11" s="30">
        <v>89</v>
      </c>
      <c r="P11" s="31" t="s">
        <v>33</v>
      </c>
      <c r="Q11" s="32"/>
      <c r="R11" s="33">
        <f>LOOKUP(P11,{"A","B","C","D","E"},{1.2,1.1,1,0.9,0.8})</f>
        <v>1.1000000000000001</v>
      </c>
      <c r="S11" s="34">
        <f>LOOKUP(I11,{0,1,2,3},{24000,28000,32000,42000})</f>
        <v>32000</v>
      </c>
      <c r="T11" s="35">
        <v>45658</v>
      </c>
      <c r="U11" s="35">
        <v>46022</v>
      </c>
      <c r="V11" s="33">
        <f t="shared" si="9"/>
        <v>365</v>
      </c>
      <c r="W11" s="33">
        <f t="shared" si="10"/>
        <v>0</v>
      </c>
      <c r="X11" s="33">
        <f t="shared" si="11"/>
        <v>1</v>
      </c>
      <c r="Y11" s="33">
        <f t="shared" si="12"/>
        <v>364</v>
      </c>
      <c r="Z11" s="33"/>
      <c r="AA11" s="36">
        <f t="shared" si="13"/>
        <v>35104</v>
      </c>
    </row>
    <row r="12" spans="1:27" s="21" customFormat="1">
      <c r="A12" s="4">
        <v>126</v>
      </c>
      <c r="B12" s="5" t="s">
        <v>36</v>
      </c>
      <c r="C12" s="22" t="s">
        <v>40</v>
      </c>
      <c r="D12" s="23">
        <v>31670</v>
      </c>
      <c r="E12" s="24" t="s">
        <v>48</v>
      </c>
      <c r="F12" s="25">
        <v>45704</v>
      </c>
      <c r="G12" s="25">
        <v>46022</v>
      </c>
      <c r="H12" s="26">
        <f t="shared" si="7"/>
        <v>319</v>
      </c>
      <c r="I12" s="7">
        <f t="shared" si="8"/>
        <v>0.87397260273972599</v>
      </c>
      <c r="J12" s="27"/>
      <c r="K12" s="28">
        <v>3.5</v>
      </c>
      <c r="L12" s="28"/>
      <c r="M12" s="28"/>
      <c r="N12" s="29"/>
      <c r="O12" s="30">
        <v>80</v>
      </c>
      <c r="P12" s="31" t="s">
        <v>33</v>
      </c>
      <c r="Q12" s="32"/>
      <c r="R12" s="33">
        <f>LOOKUP(P12,{"A","B","C","D","E"},{1.2,1.1,1,0.9,0.8})</f>
        <v>1.1000000000000001</v>
      </c>
      <c r="S12" s="34">
        <f>LOOKUP(I12,{0,1,2,3},{24000,28000,32000,42000})</f>
        <v>24000</v>
      </c>
      <c r="T12" s="35">
        <v>45704</v>
      </c>
      <c r="U12" s="35">
        <v>46022</v>
      </c>
      <c r="V12" s="33">
        <f t="shared" si="9"/>
        <v>319</v>
      </c>
      <c r="W12" s="33">
        <f t="shared" si="10"/>
        <v>0</v>
      </c>
      <c r="X12" s="33">
        <f t="shared" si="11"/>
        <v>0.21875</v>
      </c>
      <c r="Y12" s="33">
        <f t="shared" si="12"/>
        <v>318.78125</v>
      </c>
      <c r="Z12" s="33"/>
      <c r="AA12" s="36">
        <f t="shared" si="13"/>
        <v>23058</v>
      </c>
    </row>
    <row r="13" spans="1:27" s="21" customFormat="1">
      <c r="A13" s="4">
        <v>142</v>
      </c>
      <c r="B13" s="5" t="s">
        <v>36</v>
      </c>
      <c r="C13" s="22" t="s">
        <v>40</v>
      </c>
      <c r="D13" s="23">
        <v>30895</v>
      </c>
      <c r="E13" s="24" t="s">
        <v>49</v>
      </c>
      <c r="F13" s="25">
        <v>45014</v>
      </c>
      <c r="G13" s="25">
        <v>46022</v>
      </c>
      <c r="H13" s="26">
        <f t="shared" ref="H13:H14" si="14">G13-F13+1</f>
        <v>1009</v>
      </c>
      <c r="I13" s="7">
        <f t="shared" ref="I13:I14" si="15">H13/365</f>
        <v>2.7643835616438355</v>
      </c>
      <c r="J13" s="27">
        <v>11.5</v>
      </c>
      <c r="K13" s="28">
        <v>9.5</v>
      </c>
      <c r="L13" s="28">
        <v>1</v>
      </c>
      <c r="M13" s="28"/>
      <c r="N13" s="29"/>
      <c r="O13" s="30">
        <v>44</v>
      </c>
      <c r="P13" s="31" t="s">
        <v>50</v>
      </c>
      <c r="Q13" s="32"/>
      <c r="R13" s="33">
        <f>LOOKUP(P13,{"A","B","C","D","E"},{1.2,1.1,1,0.9,0.8})</f>
        <v>0.8</v>
      </c>
      <c r="S13" s="34">
        <f>LOOKUP(I13,{0,1,2,3},{24000,28000,32000,42000})</f>
        <v>32000</v>
      </c>
      <c r="T13" s="35">
        <v>45658</v>
      </c>
      <c r="U13" s="35">
        <v>46022</v>
      </c>
      <c r="V13" s="33">
        <f t="shared" ref="V13:V14" si="16">(U13-T13)+1</f>
        <v>365</v>
      </c>
      <c r="W13" s="33">
        <f t="shared" ref="W13:W14" si="17">J13/8</f>
        <v>1.4375</v>
      </c>
      <c r="X13" s="33">
        <f t="shared" ref="X13:X14" si="18">IF(K13&lt;=240, K13/8/2, 240/8/2 + ((K13-240)/8))</f>
        <v>0.59375</v>
      </c>
      <c r="Y13" s="33">
        <f t="shared" ref="Y13:Y14" si="19">V13-W13-X13</f>
        <v>362.96875</v>
      </c>
      <c r="Z13" s="33">
        <f>S13*1%</f>
        <v>320</v>
      </c>
      <c r="AA13" s="36">
        <f t="shared" ref="AA13:AA14" si="20">(ROUNDUP((R13*S13)*(Y13/365),0))-Z13</f>
        <v>25138</v>
      </c>
    </row>
    <row r="14" spans="1:27" s="21" customFormat="1">
      <c r="A14" s="4">
        <v>153</v>
      </c>
      <c r="B14" s="5" t="s">
        <v>51</v>
      </c>
      <c r="C14" s="22" t="s">
        <v>52</v>
      </c>
      <c r="D14" s="23">
        <v>30482</v>
      </c>
      <c r="E14" s="24" t="s">
        <v>53</v>
      </c>
      <c r="F14" s="25">
        <v>44875</v>
      </c>
      <c r="G14" s="25">
        <v>46022</v>
      </c>
      <c r="H14" s="26">
        <f t="shared" si="14"/>
        <v>1148</v>
      </c>
      <c r="I14" s="7">
        <f t="shared" si="15"/>
        <v>3.1452054794520548</v>
      </c>
      <c r="J14" s="27"/>
      <c r="K14" s="28">
        <v>8</v>
      </c>
      <c r="L14" s="28"/>
      <c r="M14" s="28"/>
      <c r="N14" s="29"/>
      <c r="O14" s="30">
        <v>85</v>
      </c>
      <c r="P14" s="31" t="s">
        <v>33</v>
      </c>
      <c r="Q14" s="32"/>
      <c r="R14" s="33">
        <f>LOOKUP(P14,{"A","B","C","D","E"},{1.2,1.1,1,0.9,0.8})</f>
        <v>1.1000000000000001</v>
      </c>
      <c r="S14" s="34">
        <f>LOOKUP(I14,{0,1,2,3},{24000,28000,32000,42000})</f>
        <v>42000</v>
      </c>
      <c r="T14" s="35">
        <v>45658</v>
      </c>
      <c r="U14" s="35">
        <v>46022</v>
      </c>
      <c r="V14" s="33">
        <f t="shared" si="16"/>
        <v>365</v>
      </c>
      <c r="W14" s="33">
        <f t="shared" si="17"/>
        <v>0</v>
      </c>
      <c r="X14" s="33">
        <f t="shared" si="18"/>
        <v>0.5</v>
      </c>
      <c r="Y14" s="33">
        <f t="shared" si="19"/>
        <v>364.5</v>
      </c>
      <c r="Z14" s="33"/>
      <c r="AA14" s="36">
        <f t="shared" si="20"/>
        <v>46137</v>
      </c>
    </row>
    <row r="15" spans="1:27">
      <c r="G15" s="37" t="s">
        <v>54</v>
      </c>
    </row>
    <row r="16" spans="1:27">
      <c r="J16" s="37" t="s">
        <v>56</v>
      </c>
      <c r="V16" s="39" t="s">
        <v>57</v>
      </c>
    </row>
    <row r="17" spans="7:7">
      <c r="G17" s="42" t="s">
        <v>55</v>
      </c>
    </row>
  </sheetData>
  <mergeCells count="1">
    <mergeCell ref="R1:AA1"/>
  </mergeCells>
  <phoneticPr fontId="3" type="noConversion"/>
  <printOptions horizontalCentered="1"/>
  <pageMargins left="0.39370078740157483" right="0.31496062992125984" top="0.39370078740157483" bottom="0.31496062992125984" header="0.31496062992125984" footer="0.31496062992125984"/>
  <pageSetup paperSize="8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5970-0009-4077-AA7A-4AEE04B8DBA7}">
  <dimension ref="A1"/>
  <sheetViews>
    <sheetView workbookViewId="0">
      <selection activeCell="I14" sqref="I14"/>
    </sheetView>
  </sheetViews>
  <sheetFormatPr defaultRowHeight="14.5"/>
  <sheetData/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8F9670F61ADB1C4580711D76E8BB2FC7" ma:contentTypeVersion="0" ma:contentTypeDescription="建立新的文件。" ma:contentTypeScope="" ma:versionID="22fea6f39bcfe88a1ea5258faf690f5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8510fd57b247fa46a13e895b00d3dc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2CEFB9-E498-49AD-A4C8-FFB5045E7D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AD12A2-05B3-46A7-97F0-5A23F78A37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5B56A54-3AC5-4E38-915C-2353FFB4FCB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獎金公式</vt:lpstr>
      <vt:lpstr>工作表2</vt:lpstr>
      <vt:lpstr>獎金公式!Print_Titles</vt:lpstr>
    </vt:vector>
  </TitlesOfParts>
  <Company>Kuozui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張雲婷 Yun-Ting Jang</dc:creator>
  <cp:lastModifiedBy>Eva_Yang-楊雅婷-精誠-創新設計服務處</cp:lastModifiedBy>
  <dcterms:created xsi:type="dcterms:W3CDTF">2026-06-11T06:11:47Z</dcterms:created>
  <dcterms:modified xsi:type="dcterms:W3CDTF">2026-06-24T09:11:36Z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0x0101008F9670F61ADB1C4580711D76E8BB2FC7</vt:lpwstr>
  </property>
</Properties>
</file>