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Area\專案文件\國瑞\FB2-核課外\"/>
    </mc:Choice>
  </mc:AlternateContent>
  <xr:revisionPtr revIDLastSave="0" documentId="13_ncr:1_{98990B03-2E07-42F0-9593-1BECD072874D}" xr6:coauthVersionLast="47" xr6:coauthVersionMax="47" xr10:uidLastSave="{00000000-0000-0000-0000-000000000000}"/>
  <bookViews>
    <workbookView xWindow="-20850" yWindow="1100" windowWidth="21610" windowHeight="10650" activeTab="1" xr2:uid="{DF2553D6-6534-43A9-A6BA-B150789990AE}"/>
  </bookViews>
  <sheets>
    <sheet name="變數表" sheetId="2" r:id="rId1"/>
    <sheet name="考核區分設定檔" sheetId="11" r:id="rId2"/>
    <sheet name="Diagram資料" sheetId="12" r:id="rId3"/>
    <sheet name="開捆指示檔" sheetId="13" r:id="rId4"/>
    <sheet name="下櫃指示檔" sheetId="14" r:id="rId5"/>
    <sheet name="MOD搬入紀錄檔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11" l="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R6" i="11"/>
  <c r="R5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H57" i="15"/>
  <c r="I57" i="15" s="1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H52" i="15"/>
  <c r="I52" i="15" s="1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H51" i="15"/>
  <c r="I51" i="15" s="1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H50" i="15"/>
  <c r="I50" i="15" s="1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H49" i="15"/>
  <c r="I49" i="15" s="1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H44" i="15"/>
  <c r="I44" i="15" s="1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H42" i="15"/>
  <c r="I42" i="15" s="1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H41" i="15"/>
  <c r="I41" i="15" s="1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H36" i="15"/>
  <c r="I36" i="15" s="1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H34" i="15"/>
  <c r="I34" i="15" s="1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H33" i="15"/>
  <c r="I33" i="15" s="1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N29" i="15"/>
  <c r="M29" i="15"/>
  <c r="L29" i="15"/>
  <c r="J29" i="15"/>
  <c r="H29" i="15"/>
  <c r="I29" i="15" s="1"/>
  <c r="G29" i="15"/>
  <c r="R29" i="15" s="1"/>
  <c r="N28" i="15"/>
  <c r="M28" i="15"/>
  <c r="L28" i="15"/>
  <c r="J28" i="15"/>
  <c r="I28" i="15"/>
  <c r="H28" i="15"/>
  <c r="G28" i="15"/>
  <c r="F28" i="15" s="1"/>
  <c r="R27" i="15"/>
  <c r="N27" i="15"/>
  <c r="M27" i="15"/>
  <c r="L27" i="15"/>
  <c r="J27" i="15"/>
  <c r="H27" i="15"/>
  <c r="G27" i="15"/>
  <c r="O27" i="15" s="1"/>
  <c r="F27" i="15"/>
  <c r="V27" i="15" s="1"/>
  <c r="S26" i="15"/>
  <c r="N26" i="15"/>
  <c r="M26" i="15"/>
  <c r="L26" i="15"/>
  <c r="J26" i="15"/>
  <c r="H26" i="15"/>
  <c r="G26" i="15"/>
  <c r="P26" i="15" s="1"/>
  <c r="F26" i="15"/>
  <c r="U26" i="15" s="1"/>
  <c r="N25" i="15"/>
  <c r="M25" i="15"/>
  <c r="L25" i="15"/>
  <c r="J25" i="15"/>
  <c r="H25" i="15"/>
  <c r="G25" i="15"/>
  <c r="P25" i="15" s="1"/>
  <c r="N24" i="15"/>
  <c r="M24" i="15"/>
  <c r="L24" i="15"/>
  <c r="J24" i="15"/>
  <c r="H24" i="15"/>
  <c r="G24" i="15"/>
  <c r="R24" i="15" s="1"/>
  <c r="N23" i="15"/>
  <c r="M23" i="15"/>
  <c r="L23" i="15"/>
  <c r="J23" i="15"/>
  <c r="H23" i="15"/>
  <c r="G23" i="15"/>
  <c r="S23" i="15" s="1"/>
  <c r="N22" i="15"/>
  <c r="M22" i="15"/>
  <c r="L22" i="15"/>
  <c r="J22" i="15"/>
  <c r="H22" i="15"/>
  <c r="I22" i="15" s="1"/>
  <c r="G22" i="15"/>
  <c r="S22" i="15" s="1"/>
  <c r="N21" i="15"/>
  <c r="M21" i="15"/>
  <c r="L21" i="15"/>
  <c r="K21" i="15"/>
  <c r="J21" i="15"/>
  <c r="H21" i="15"/>
  <c r="I21" i="15" s="1"/>
  <c r="G21" i="15"/>
  <c r="R21" i="15" s="1"/>
  <c r="N20" i="15"/>
  <c r="M20" i="15"/>
  <c r="L20" i="15"/>
  <c r="J20" i="15"/>
  <c r="I20" i="15"/>
  <c r="H20" i="15"/>
  <c r="G20" i="15"/>
  <c r="F20" i="15" s="1"/>
  <c r="N19" i="15"/>
  <c r="M19" i="15"/>
  <c r="L19" i="15"/>
  <c r="J19" i="15"/>
  <c r="H19" i="15"/>
  <c r="G19" i="15"/>
  <c r="O19" i="15" s="1"/>
  <c r="F19" i="15"/>
  <c r="V19" i="15" s="1"/>
  <c r="N18" i="15"/>
  <c r="M18" i="15"/>
  <c r="L18" i="15"/>
  <c r="J18" i="15"/>
  <c r="H18" i="15"/>
  <c r="G18" i="15"/>
  <c r="P18" i="15" s="1"/>
  <c r="N17" i="15"/>
  <c r="M17" i="15"/>
  <c r="L17" i="15"/>
  <c r="J17" i="15"/>
  <c r="H17" i="15"/>
  <c r="G17" i="15"/>
  <c r="P17" i="15" s="1"/>
  <c r="N16" i="15"/>
  <c r="M16" i="15"/>
  <c r="L16" i="15"/>
  <c r="K16" i="15"/>
  <c r="J16" i="15"/>
  <c r="H16" i="15"/>
  <c r="I16" i="15" s="1"/>
  <c r="G16" i="15"/>
  <c r="R16" i="15" s="1"/>
  <c r="N15" i="15"/>
  <c r="M15" i="15"/>
  <c r="L15" i="15"/>
  <c r="J15" i="15"/>
  <c r="H15" i="15"/>
  <c r="I15" i="15" s="1"/>
  <c r="G15" i="15"/>
  <c r="S15" i="15" s="1"/>
  <c r="N14" i="15"/>
  <c r="M14" i="15"/>
  <c r="L14" i="15"/>
  <c r="J14" i="15"/>
  <c r="H14" i="15"/>
  <c r="I14" i="15" s="1"/>
  <c r="G14" i="15"/>
  <c r="S14" i="15" s="1"/>
  <c r="N13" i="15"/>
  <c r="M13" i="15"/>
  <c r="L13" i="15"/>
  <c r="K13" i="15"/>
  <c r="J13" i="15"/>
  <c r="H13" i="15"/>
  <c r="I13" i="15" s="1"/>
  <c r="G13" i="15"/>
  <c r="R13" i="15" s="1"/>
  <c r="P12" i="15"/>
  <c r="N12" i="15"/>
  <c r="M12" i="15"/>
  <c r="L12" i="15"/>
  <c r="J12" i="15"/>
  <c r="H12" i="15"/>
  <c r="I12" i="15" s="1"/>
  <c r="G12" i="15"/>
  <c r="F12" i="15" s="1"/>
  <c r="N11" i="15"/>
  <c r="M11" i="15"/>
  <c r="L11" i="15"/>
  <c r="J11" i="15"/>
  <c r="H11" i="15"/>
  <c r="G11" i="15"/>
  <c r="O11" i="15" s="1"/>
  <c r="N10" i="15"/>
  <c r="M10" i="15"/>
  <c r="L10" i="15"/>
  <c r="K10" i="15"/>
  <c r="J10" i="15"/>
  <c r="H10" i="15"/>
  <c r="G10" i="15"/>
  <c r="P10" i="15" s="1"/>
  <c r="N9" i="15"/>
  <c r="M9" i="15"/>
  <c r="L9" i="15"/>
  <c r="J9" i="15"/>
  <c r="H9" i="15"/>
  <c r="I9" i="15" s="1"/>
  <c r="G9" i="15"/>
  <c r="P9" i="15" s="1"/>
  <c r="P8" i="15"/>
  <c r="N8" i="15"/>
  <c r="M8" i="15"/>
  <c r="L8" i="15"/>
  <c r="K8" i="15"/>
  <c r="J8" i="15"/>
  <c r="H8" i="15"/>
  <c r="I8" i="15" s="1"/>
  <c r="G8" i="15"/>
  <c r="R8" i="15" s="1"/>
  <c r="F8" i="15"/>
  <c r="Q8" i="15" s="1"/>
  <c r="N7" i="15"/>
  <c r="M7" i="15"/>
  <c r="L7" i="15"/>
  <c r="J7" i="15"/>
  <c r="H7" i="15"/>
  <c r="G7" i="15"/>
  <c r="S7" i="15" s="1"/>
  <c r="R6" i="15"/>
  <c r="N6" i="15"/>
  <c r="M6" i="15"/>
  <c r="L6" i="15"/>
  <c r="J6" i="15"/>
  <c r="H6" i="15"/>
  <c r="G6" i="15"/>
  <c r="S6" i="15" s="1"/>
  <c r="P5" i="15"/>
  <c r="N5" i="15"/>
  <c r="M5" i="15"/>
  <c r="L5" i="15"/>
  <c r="J5" i="15"/>
  <c r="H5" i="15"/>
  <c r="I5" i="15" s="1"/>
  <c r="G5" i="15"/>
  <c r="R5" i="15" s="1"/>
  <c r="H2" i="15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H58" i="14"/>
  <c r="I58" i="14" s="1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H57" i="14"/>
  <c r="I57" i="14" s="1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H55" i="14"/>
  <c r="I55" i="14" s="1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H53" i="14"/>
  <c r="I53" i="14" s="1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H50" i="14"/>
  <c r="I50" i="14" s="1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H49" i="14"/>
  <c r="I49" i="14" s="1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H47" i="14"/>
  <c r="I47" i="14" s="1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H45" i="14"/>
  <c r="I45" i="14" s="1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H42" i="14"/>
  <c r="I42" i="14" s="1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H41" i="14"/>
  <c r="I41" i="14" s="1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H39" i="14"/>
  <c r="I39" i="14" s="1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H37" i="14"/>
  <c r="I37" i="14" s="1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H34" i="14"/>
  <c r="I34" i="14" s="1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H33" i="14"/>
  <c r="I33" i="14" s="1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H31" i="14"/>
  <c r="I31" i="14" s="1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T29" i="14"/>
  <c r="S29" i="14"/>
  <c r="R29" i="14"/>
  <c r="P29" i="14"/>
  <c r="N29" i="14"/>
  <c r="M29" i="14"/>
  <c r="L29" i="14"/>
  <c r="K29" i="14"/>
  <c r="J29" i="14"/>
  <c r="H29" i="14"/>
  <c r="I29" i="14" s="1"/>
  <c r="G29" i="14"/>
  <c r="O29" i="14" s="1"/>
  <c r="F29" i="14"/>
  <c r="U29" i="14" s="1"/>
  <c r="S28" i="14"/>
  <c r="N28" i="14"/>
  <c r="M28" i="14"/>
  <c r="L28" i="14"/>
  <c r="K28" i="14"/>
  <c r="J28" i="14"/>
  <c r="I28" i="14"/>
  <c r="H28" i="14"/>
  <c r="G28" i="14"/>
  <c r="F28" i="14" s="1"/>
  <c r="U27" i="14"/>
  <c r="T27" i="14"/>
  <c r="R27" i="14"/>
  <c r="P27" i="14"/>
  <c r="N27" i="14"/>
  <c r="M27" i="14"/>
  <c r="L27" i="14"/>
  <c r="J27" i="14"/>
  <c r="H27" i="14"/>
  <c r="I27" i="14" s="1"/>
  <c r="G27" i="14"/>
  <c r="O27" i="14" s="1"/>
  <c r="F27" i="14"/>
  <c r="V27" i="14" s="1"/>
  <c r="N26" i="14"/>
  <c r="M26" i="14"/>
  <c r="L26" i="14"/>
  <c r="J26" i="14"/>
  <c r="H26" i="14"/>
  <c r="G26" i="14"/>
  <c r="P26" i="14" s="1"/>
  <c r="F26" i="14"/>
  <c r="U26" i="14" s="1"/>
  <c r="N25" i="14"/>
  <c r="M25" i="14"/>
  <c r="L25" i="14"/>
  <c r="J25" i="14"/>
  <c r="H25" i="14"/>
  <c r="G25" i="14"/>
  <c r="P25" i="14" s="1"/>
  <c r="N24" i="14"/>
  <c r="M24" i="14"/>
  <c r="L24" i="14"/>
  <c r="J24" i="14"/>
  <c r="H24" i="14"/>
  <c r="G24" i="14"/>
  <c r="R24" i="14" s="1"/>
  <c r="N23" i="14"/>
  <c r="M23" i="14"/>
  <c r="L23" i="14"/>
  <c r="J23" i="14"/>
  <c r="H23" i="14"/>
  <c r="G23" i="14"/>
  <c r="O23" i="14" s="1"/>
  <c r="R22" i="14"/>
  <c r="N22" i="14"/>
  <c r="M22" i="14"/>
  <c r="L22" i="14"/>
  <c r="J22" i="14"/>
  <c r="H22" i="14"/>
  <c r="G22" i="14"/>
  <c r="S22" i="14" s="1"/>
  <c r="P21" i="14"/>
  <c r="N21" i="14"/>
  <c r="M21" i="14"/>
  <c r="L21" i="14"/>
  <c r="J21" i="14"/>
  <c r="H21" i="14"/>
  <c r="G21" i="14"/>
  <c r="O21" i="14" s="1"/>
  <c r="F21" i="14"/>
  <c r="U21" i="14" s="1"/>
  <c r="N20" i="14"/>
  <c r="M20" i="14"/>
  <c r="L20" i="14"/>
  <c r="K20" i="14"/>
  <c r="J20" i="14"/>
  <c r="H20" i="14"/>
  <c r="I20" i="14" s="1"/>
  <c r="G20" i="14"/>
  <c r="F20" i="14" s="1"/>
  <c r="N19" i="14"/>
  <c r="M19" i="14"/>
  <c r="L19" i="14"/>
  <c r="J19" i="14"/>
  <c r="H19" i="14"/>
  <c r="G19" i="14"/>
  <c r="O19" i="14" s="1"/>
  <c r="N18" i="14"/>
  <c r="M18" i="14"/>
  <c r="L18" i="14"/>
  <c r="J18" i="14"/>
  <c r="H18" i="14"/>
  <c r="G18" i="14"/>
  <c r="P18" i="14" s="1"/>
  <c r="F18" i="14"/>
  <c r="U18" i="14" s="1"/>
  <c r="N17" i="14"/>
  <c r="M17" i="14"/>
  <c r="L17" i="14"/>
  <c r="J17" i="14"/>
  <c r="H17" i="14"/>
  <c r="I17" i="14" s="1"/>
  <c r="G17" i="14"/>
  <c r="F17" i="14" s="1"/>
  <c r="N16" i="14"/>
  <c r="M16" i="14"/>
  <c r="L16" i="14"/>
  <c r="J16" i="14"/>
  <c r="H16" i="14"/>
  <c r="G16" i="14"/>
  <c r="R16" i="14" s="1"/>
  <c r="S15" i="14"/>
  <c r="R15" i="14"/>
  <c r="Q15" i="14"/>
  <c r="N15" i="14"/>
  <c r="M15" i="14"/>
  <c r="L15" i="14"/>
  <c r="K15" i="14"/>
  <c r="J15" i="14"/>
  <c r="I15" i="14"/>
  <c r="H15" i="14"/>
  <c r="G15" i="14"/>
  <c r="O15" i="14" s="1"/>
  <c r="F15" i="14"/>
  <c r="V15" i="14" s="1"/>
  <c r="N14" i="14"/>
  <c r="M14" i="14"/>
  <c r="L14" i="14"/>
  <c r="J14" i="14"/>
  <c r="I14" i="14"/>
  <c r="H14" i="14"/>
  <c r="G14" i="14"/>
  <c r="P14" i="14" s="1"/>
  <c r="N13" i="14"/>
  <c r="M13" i="14"/>
  <c r="L13" i="14"/>
  <c r="J13" i="14"/>
  <c r="H13" i="14"/>
  <c r="G13" i="14"/>
  <c r="O13" i="14" s="1"/>
  <c r="N12" i="14"/>
  <c r="M12" i="14"/>
  <c r="L12" i="14"/>
  <c r="J12" i="14"/>
  <c r="H12" i="14"/>
  <c r="I12" i="14" s="1"/>
  <c r="G12" i="14"/>
  <c r="F12" i="14" s="1"/>
  <c r="U11" i="14"/>
  <c r="R11" i="14"/>
  <c r="N11" i="14"/>
  <c r="M11" i="14"/>
  <c r="L11" i="14"/>
  <c r="J11" i="14"/>
  <c r="H11" i="14"/>
  <c r="I11" i="14" s="1"/>
  <c r="G11" i="14"/>
  <c r="O11" i="14" s="1"/>
  <c r="F11" i="14"/>
  <c r="V11" i="14" s="1"/>
  <c r="N10" i="14"/>
  <c r="M10" i="14"/>
  <c r="L10" i="14"/>
  <c r="J10" i="14"/>
  <c r="H10" i="14"/>
  <c r="G10" i="14"/>
  <c r="P10" i="14" s="1"/>
  <c r="N9" i="14"/>
  <c r="M9" i="14"/>
  <c r="L9" i="14"/>
  <c r="J9" i="14"/>
  <c r="H9" i="14"/>
  <c r="I9" i="14" s="1"/>
  <c r="G9" i="14"/>
  <c r="F9" i="14" s="1"/>
  <c r="N8" i="14"/>
  <c r="M8" i="14"/>
  <c r="L8" i="14"/>
  <c r="J8" i="14"/>
  <c r="H8" i="14"/>
  <c r="G8" i="14"/>
  <c r="R8" i="14" s="1"/>
  <c r="R7" i="14"/>
  <c r="N7" i="14"/>
  <c r="M7" i="14"/>
  <c r="L7" i="14"/>
  <c r="K7" i="14"/>
  <c r="J7" i="14"/>
  <c r="I7" i="14"/>
  <c r="H7" i="14"/>
  <c r="G7" i="14"/>
  <c r="O7" i="14" s="1"/>
  <c r="F7" i="14"/>
  <c r="V7" i="14" s="1"/>
  <c r="N6" i="14"/>
  <c r="M6" i="14"/>
  <c r="L6" i="14"/>
  <c r="J6" i="14"/>
  <c r="H6" i="14"/>
  <c r="G6" i="14"/>
  <c r="S6" i="14" s="1"/>
  <c r="N5" i="14"/>
  <c r="M5" i="14"/>
  <c r="L5" i="14"/>
  <c r="J5" i="14"/>
  <c r="H5" i="14"/>
  <c r="G5" i="14"/>
  <c r="O5" i="14" s="1"/>
  <c r="H2" i="14"/>
  <c r="I25" i="15" l="1"/>
  <c r="R11" i="15"/>
  <c r="K18" i="15"/>
  <c r="S19" i="15"/>
  <c r="I6" i="15"/>
  <c r="S8" i="15"/>
  <c r="F10" i="15"/>
  <c r="U10" i="15" s="1"/>
  <c r="R10" i="15"/>
  <c r="R12" i="15"/>
  <c r="P13" i="15"/>
  <c r="F15" i="15"/>
  <c r="U19" i="15"/>
  <c r="P20" i="15"/>
  <c r="K26" i="15"/>
  <c r="I27" i="15"/>
  <c r="S27" i="15"/>
  <c r="K24" i="15"/>
  <c r="K5" i="15"/>
  <c r="I7" i="15"/>
  <c r="U8" i="15"/>
  <c r="S10" i="15"/>
  <c r="S13" i="15"/>
  <c r="F16" i="15"/>
  <c r="P16" i="15"/>
  <c r="K19" i="15"/>
  <c r="R20" i="15"/>
  <c r="P21" i="15"/>
  <c r="R22" i="15"/>
  <c r="U27" i="15"/>
  <c r="P28" i="15"/>
  <c r="K11" i="15"/>
  <c r="I19" i="15"/>
  <c r="F11" i="15"/>
  <c r="S16" i="15"/>
  <c r="O17" i="15"/>
  <c r="S21" i="15"/>
  <c r="F23" i="15"/>
  <c r="T23" i="15" s="1"/>
  <c r="K27" i="15"/>
  <c r="R28" i="15"/>
  <c r="P29" i="15"/>
  <c r="P11" i="15"/>
  <c r="F18" i="15"/>
  <c r="U18" i="15" s="1"/>
  <c r="S18" i="15"/>
  <c r="F24" i="15"/>
  <c r="P24" i="15"/>
  <c r="S29" i="15"/>
  <c r="S24" i="15"/>
  <c r="I11" i="15"/>
  <c r="I17" i="15"/>
  <c r="P19" i="15"/>
  <c r="I23" i="15"/>
  <c r="I24" i="15"/>
  <c r="S5" i="15"/>
  <c r="F7" i="15"/>
  <c r="S11" i="15"/>
  <c r="R19" i="15"/>
  <c r="P27" i="15"/>
  <c r="K29" i="15"/>
  <c r="V28" i="15"/>
  <c r="U28" i="15"/>
  <c r="Q28" i="15"/>
  <c r="T28" i="15"/>
  <c r="V12" i="15"/>
  <c r="T12" i="15"/>
  <c r="U12" i="15"/>
  <c r="Q12" i="15"/>
  <c r="V20" i="15"/>
  <c r="U20" i="15"/>
  <c r="Q20" i="15"/>
  <c r="T20" i="15"/>
  <c r="V18" i="15"/>
  <c r="V26" i="15"/>
  <c r="F5" i="15"/>
  <c r="T7" i="15"/>
  <c r="R9" i="15"/>
  <c r="I10" i="15"/>
  <c r="Q10" i="15"/>
  <c r="O12" i="15"/>
  <c r="F13" i="15"/>
  <c r="T15" i="15"/>
  <c r="R17" i="15"/>
  <c r="I18" i="15"/>
  <c r="Q18" i="15"/>
  <c r="O20" i="15"/>
  <c r="F21" i="15"/>
  <c r="R25" i="15"/>
  <c r="I26" i="15"/>
  <c r="Q26" i="15"/>
  <c r="O28" i="15"/>
  <c r="F29" i="15"/>
  <c r="O5" i="15"/>
  <c r="F6" i="15"/>
  <c r="U7" i="15"/>
  <c r="T8" i="15"/>
  <c r="K9" i="15"/>
  <c r="S9" i="15"/>
  <c r="O13" i="15"/>
  <c r="F14" i="15"/>
  <c r="U15" i="15"/>
  <c r="T16" i="15"/>
  <c r="K17" i="15"/>
  <c r="S17" i="15"/>
  <c r="R18" i="15"/>
  <c r="Q19" i="15"/>
  <c r="O21" i="15"/>
  <c r="F22" i="15"/>
  <c r="T24" i="15"/>
  <c r="K25" i="15"/>
  <c r="S25" i="15"/>
  <c r="R26" i="15"/>
  <c r="Q27" i="15"/>
  <c r="O29" i="15"/>
  <c r="V10" i="15"/>
  <c r="R14" i="15"/>
  <c r="O25" i="15"/>
  <c r="O14" i="15"/>
  <c r="O22" i="15"/>
  <c r="V8" i="15"/>
  <c r="T10" i="15"/>
  <c r="O15" i="15"/>
  <c r="T18" i="15"/>
  <c r="O23" i="15"/>
  <c r="T26" i="15"/>
  <c r="O9" i="15"/>
  <c r="O6" i="15"/>
  <c r="P6" i="15"/>
  <c r="O7" i="15"/>
  <c r="P14" i="15"/>
  <c r="V16" i="15"/>
  <c r="P22" i="15"/>
  <c r="V24" i="15"/>
  <c r="P7" i="15"/>
  <c r="O8" i="15"/>
  <c r="F9" i="15"/>
  <c r="T11" i="15"/>
  <c r="K12" i="15"/>
  <c r="S12" i="15"/>
  <c r="P15" i="15"/>
  <c r="O16" i="15"/>
  <c r="F17" i="15"/>
  <c r="T19" i="15"/>
  <c r="K20" i="15"/>
  <c r="S20" i="15"/>
  <c r="P23" i="15"/>
  <c r="O24" i="15"/>
  <c r="F25" i="15"/>
  <c r="T27" i="15"/>
  <c r="K28" i="15"/>
  <c r="S28" i="15"/>
  <c r="K6" i="15"/>
  <c r="R7" i="15"/>
  <c r="O10" i="15"/>
  <c r="K14" i="15"/>
  <c r="R15" i="15"/>
  <c r="O18" i="15"/>
  <c r="K22" i="15"/>
  <c r="R23" i="15"/>
  <c r="O26" i="15"/>
  <c r="K7" i="15"/>
  <c r="K15" i="15"/>
  <c r="K23" i="15"/>
  <c r="I5" i="14"/>
  <c r="I8" i="14"/>
  <c r="S12" i="14"/>
  <c r="P16" i="14"/>
  <c r="I19" i="14"/>
  <c r="I22" i="14"/>
  <c r="R5" i="14"/>
  <c r="P23" i="14"/>
  <c r="S5" i="14"/>
  <c r="K10" i="14"/>
  <c r="R6" i="14"/>
  <c r="F13" i="14"/>
  <c r="P13" i="14"/>
  <c r="S20" i="14"/>
  <c r="I23" i="14"/>
  <c r="R23" i="14"/>
  <c r="P24" i="14"/>
  <c r="R13" i="14"/>
  <c r="I16" i="14"/>
  <c r="R21" i="14"/>
  <c r="K23" i="14"/>
  <c r="I25" i="14"/>
  <c r="S23" i="14"/>
  <c r="P7" i="14"/>
  <c r="I13" i="14"/>
  <c r="S13" i="14"/>
  <c r="I6" i="14"/>
  <c r="Q7" i="14"/>
  <c r="F10" i="14"/>
  <c r="U10" i="14" s="1"/>
  <c r="S10" i="14"/>
  <c r="P11" i="14"/>
  <c r="K12" i="14"/>
  <c r="R14" i="14"/>
  <c r="I21" i="14"/>
  <c r="S21" i="14"/>
  <c r="I24" i="14"/>
  <c r="K5" i="14"/>
  <c r="K13" i="14"/>
  <c r="T21" i="14"/>
  <c r="P8" i="14"/>
  <c r="P19" i="14"/>
  <c r="F5" i="14"/>
  <c r="P5" i="14"/>
  <c r="S7" i="14"/>
  <c r="T11" i="14"/>
  <c r="P15" i="14"/>
  <c r="F19" i="14"/>
  <c r="Q19" i="14" s="1"/>
  <c r="R19" i="14"/>
  <c r="K21" i="14"/>
  <c r="F23" i="14"/>
  <c r="Q9" i="14"/>
  <c r="V9" i="14"/>
  <c r="U9" i="14"/>
  <c r="T9" i="14"/>
  <c r="Q17" i="14"/>
  <c r="V17" i="14"/>
  <c r="U17" i="14"/>
  <c r="T17" i="14"/>
  <c r="V20" i="14"/>
  <c r="U20" i="14"/>
  <c r="Q20" i="14"/>
  <c r="T20" i="14"/>
  <c r="V12" i="14"/>
  <c r="T12" i="14"/>
  <c r="Q12" i="14"/>
  <c r="U12" i="14"/>
  <c r="V28" i="14"/>
  <c r="U28" i="14"/>
  <c r="T28" i="14"/>
  <c r="Q28" i="14"/>
  <c r="V10" i="14"/>
  <c r="K6" i="14"/>
  <c r="O10" i="14"/>
  <c r="K14" i="14"/>
  <c r="S14" i="14"/>
  <c r="T7" i="14"/>
  <c r="K8" i="14"/>
  <c r="S8" i="14"/>
  <c r="O12" i="14"/>
  <c r="V13" i="14"/>
  <c r="K16" i="14"/>
  <c r="S16" i="14"/>
  <c r="T23" i="14"/>
  <c r="S24" i="14"/>
  <c r="R25" i="14"/>
  <c r="I26" i="14"/>
  <c r="Q26" i="14"/>
  <c r="O28" i="14"/>
  <c r="V29" i="14"/>
  <c r="V26" i="14"/>
  <c r="P9" i="14"/>
  <c r="P17" i="14"/>
  <c r="O18" i="14"/>
  <c r="V5" i="14"/>
  <c r="R9" i="14"/>
  <c r="I10" i="14"/>
  <c r="Q10" i="14"/>
  <c r="T15" i="14"/>
  <c r="R17" i="14"/>
  <c r="I18" i="14"/>
  <c r="Q18" i="14"/>
  <c r="O20" i="14"/>
  <c r="V21" i="14"/>
  <c r="K24" i="14"/>
  <c r="F6" i="14"/>
  <c r="U7" i="14"/>
  <c r="K9" i="14"/>
  <c r="S9" i="14"/>
  <c r="R10" i="14"/>
  <c r="Q11" i="14"/>
  <c r="P12" i="14"/>
  <c r="F14" i="14"/>
  <c r="U15" i="14"/>
  <c r="K17" i="14"/>
  <c r="S17" i="14"/>
  <c r="R18" i="14"/>
  <c r="P20" i="14"/>
  <c r="F22" i="14"/>
  <c r="U23" i="14"/>
  <c r="K25" i="14"/>
  <c r="S25" i="14"/>
  <c r="R26" i="14"/>
  <c r="Q27" i="14"/>
  <c r="P28" i="14"/>
  <c r="O9" i="14"/>
  <c r="V18" i="14"/>
  <c r="O25" i="14"/>
  <c r="O14" i="14"/>
  <c r="O17" i="14"/>
  <c r="O6" i="14"/>
  <c r="K18" i="14"/>
  <c r="S18" i="14"/>
  <c r="O22" i="14"/>
  <c r="K26" i="14"/>
  <c r="S26" i="14"/>
  <c r="Q5" i="14"/>
  <c r="P6" i="14"/>
  <c r="F8" i="14"/>
  <c r="T10" i="14"/>
  <c r="K11" i="14"/>
  <c r="S11" i="14"/>
  <c r="R12" i="14"/>
  <c r="Q13" i="14"/>
  <c r="F16" i="14"/>
  <c r="T18" i="14"/>
  <c r="K19" i="14"/>
  <c r="S19" i="14"/>
  <c r="R20" i="14"/>
  <c r="Q21" i="14"/>
  <c r="P22" i="14"/>
  <c r="F24" i="14"/>
  <c r="T26" i="14"/>
  <c r="K27" i="14"/>
  <c r="S27" i="14"/>
  <c r="R28" i="14"/>
  <c r="Q29" i="14"/>
  <c r="O8" i="14"/>
  <c r="O16" i="14"/>
  <c r="O24" i="14"/>
  <c r="F25" i="14"/>
  <c r="K22" i="14"/>
  <c r="O26" i="14"/>
  <c r="Q16" i="15" l="1"/>
  <c r="U16" i="15"/>
  <c r="V7" i="15"/>
  <c r="Q7" i="15"/>
  <c r="V23" i="15"/>
  <c r="Q23" i="15"/>
  <c r="U23" i="15"/>
  <c r="Q24" i="15"/>
  <c r="U24" i="15"/>
  <c r="V15" i="15"/>
  <c r="Q15" i="15"/>
  <c r="V11" i="15"/>
  <c r="Q11" i="15"/>
  <c r="U11" i="15"/>
  <c r="U5" i="15"/>
  <c r="T5" i="15"/>
  <c r="Q5" i="15"/>
  <c r="V5" i="15"/>
  <c r="Q9" i="15"/>
  <c r="V9" i="15"/>
  <c r="T9" i="15"/>
  <c r="U9" i="15"/>
  <c r="Q17" i="15"/>
  <c r="V17" i="15"/>
  <c r="U17" i="15"/>
  <c r="T17" i="15"/>
  <c r="T6" i="15"/>
  <c r="Q6" i="15"/>
  <c r="V6" i="15"/>
  <c r="U6" i="15"/>
  <c r="U21" i="15"/>
  <c r="T21" i="15"/>
  <c r="Q21" i="15"/>
  <c r="V21" i="15"/>
  <c r="U13" i="15"/>
  <c r="T13" i="15"/>
  <c r="Q13" i="15"/>
  <c r="V13" i="15"/>
  <c r="Q25" i="15"/>
  <c r="V25" i="15"/>
  <c r="U25" i="15"/>
  <c r="T25" i="15"/>
  <c r="T22" i="15"/>
  <c r="Q22" i="15"/>
  <c r="V22" i="15"/>
  <c r="U22" i="15"/>
  <c r="T14" i="15"/>
  <c r="Q14" i="15"/>
  <c r="V14" i="15"/>
  <c r="U14" i="15"/>
  <c r="U29" i="15"/>
  <c r="T29" i="15"/>
  <c r="Q29" i="15"/>
  <c r="V29" i="15"/>
  <c r="U13" i="14"/>
  <c r="T13" i="14"/>
  <c r="V19" i="14"/>
  <c r="T19" i="14"/>
  <c r="U19" i="14"/>
  <c r="V23" i="14"/>
  <c r="Q23" i="14"/>
  <c r="U5" i="14"/>
  <c r="T5" i="14"/>
  <c r="V16" i="14"/>
  <c r="U16" i="14"/>
  <c r="T16" i="14"/>
  <c r="Q16" i="14"/>
  <c r="Q24" i="14"/>
  <c r="V24" i="14"/>
  <c r="U24" i="14"/>
  <c r="T24" i="14"/>
  <c r="T14" i="14"/>
  <c r="Q14" i="14"/>
  <c r="V14" i="14"/>
  <c r="U14" i="14"/>
  <c r="Q25" i="14"/>
  <c r="V25" i="14"/>
  <c r="U25" i="14"/>
  <c r="T25" i="14"/>
  <c r="T6" i="14"/>
  <c r="Q6" i="14"/>
  <c r="V6" i="14"/>
  <c r="U6" i="14"/>
  <c r="T22" i="14"/>
  <c r="Q22" i="14"/>
  <c r="V22" i="14"/>
  <c r="U22" i="14"/>
  <c r="V8" i="14"/>
  <c r="U8" i="14"/>
  <c r="T8" i="14"/>
  <c r="Q8" i="14"/>
  <c r="V88" i="13" l="1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H57" i="13"/>
  <c r="I57" i="13" s="1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H55" i="13"/>
  <c r="I55" i="13" s="1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H53" i="13"/>
  <c r="I53" i="13" s="1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H51" i="13"/>
  <c r="I51" i="13" s="1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H49" i="13"/>
  <c r="I49" i="13" s="1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H47" i="13"/>
  <c r="I47" i="13" s="1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H45" i="13"/>
  <c r="I45" i="13" s="1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H43" i="13"/>
  <c r="I43" i="13" s="1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H41" i="13"/>
  <c r="I41" i="13" s="1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H39" i="13"/>
  <c r="I39" i="13" s="1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H37" i="13"/>
  <c r="I37" i="13" s="1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H35" i="13"/>
  <c r="I35" i="13" s="1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H33" i="13"/>
  <c r="I33" i="13" s="1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H31" i="13"/>
  <c r="I31" i="13" s="1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T29" i="13"/>
  <c r="R29" i="13"/>
  <c r="Q29" i="13"/>
  <c r="P29" i="13"/>
  <c r="N29" i="13"/>
  <c r="M29" i="13"/>
  <c r="L29" i="13"/>
  <c r="J29" i="13"/>
  <c r="H29" i="13"/>
  <c r="I29" i="13" s="1"/>
  <c r="G29" i="13"/>
  <c r="S29" i="13" s="1"/>
  <c r="F29" i="13"/>
  <c r="U29" i="13" s="1"/>
  <c r="S28" i="13"/>
  <c r="R28" i="13"/>
  <c r="Q28" i="13"/>
  <c r="N28" i="13"/>
  <c r="M28" i="13"/>
  <c r="L28" i="13"/>
  <c r="K28" i="13"/>
  <c r="J28" i="13"/>
  <c r="I28" i="13"/>
  <c r="H28" i="13"/>
  <c r="G28" i="13"/>
  <c r="P28" i="13" s="1"/>
  <c r="F28" i="13"/>
  <c r="V28" i="13" s="1"/>
  <c r="S27" i="13"/>
  <c r="R27" i="13"/>
  <c r="N27" i="13"/>
  <c r="M27" i="13"/>
  <c r="L27" i="13"/>
  <c r="K27" i="13"/>
  <c r="J27" i="13"/>
  <c r="H27" i="13"/>
  <c r="I27" i="13" s="1"/>
  <c r="G27" i="13"/>
  <c r="F27" i="13" s="1"/>
  <c r="S26" i="13"/>
  <c r="P26" i="13"/>
  <c r="N26" i="13"/>
  <c r="M26" i="13"/>
  <c r="L26" i="13"/>
  <c r="K26" i="13"/>
  <c r="J26" i="13"/>
  <c r="H26" i="13"/>
  <c r="I26" i="13" s="1"/>
  <c r="G26" i="13"/>
  <c r="O26" i="13" s="1"/>
  <c r="S25" i="13"/>
  <c r="N25" i="13"/>
  <c r="M25" i="13"/>
  <c r="L25" i="13"/>
  <c r="J25" i="13"/>
  <c r="I25" i="13"/>
  <c r="H25" i="13"/>
  <c r="G25" i="13"/>
  <c r="O25" i="13" s="1"/>
  <c r="F25" i="13"/>
  <c r="V25" i="13" s="1"/>
  <c r="N24" i="13"/>
  <c r="M24" i="13"/>
  <c r="L24" i="13"/>
  <c r="J24" i="13"/>
  <c r="H24" i="13"/>
  <c r="G24" i="13"/>
  <c r="N23" i="13"/>
  <c r="M23" i="13"/>
  <c r="L23" i="13"/>
  <c r="J23" i="13"/>
  <c r="H23" i="13"/>
  <c r="G23" i="13"/>
  <c r="R23" i="13" s="1"/>
  <c r="N22" i="13"/>
  <c r="M22" i="13"/>
  <c r="L22" i="13"/>
  <c r="J22" i="13"/>
  <c r="H22" i="13"/>
  <c r="G22" i="13"/>
  <c r="S22" i="13" s="1"/>
  <c r="N21" i="13"/>
  <c r="M21" i="13"/>
  <c r="L21" i="13"/>
  <c r="J21" i="13"/>
  <c r="H21" i="13"/>
  <c r="G21" i="13"/>
  <c r="S21" i="13" s="1"/>
  <c r="N20" i="13"/>
  <c r="M20" i="13"/>
  <c r="L20" i="13"/>
  <c r="J20" i="13"/>
  <c r="H20" i="13"/>
  <c r="G20" i="13"/>
  <c r="O20" i="13" s="1"/>
  <c r="F20" i="13"/>
  <c r="U20" i="13" s="1"/>
  <c r="N19" i="13"/>
  <c r="M19" i="13"/>
  <c r="L19" i="13"/>
  <c r="J19" i="13"/>
  <c r="H19" i="13"/>
  <c r="G19" i="13"/>
  <c r="F19" i="13" s="1"/>
  <c r="N18" i="13"/>
  <c r="M18" i="13"/>
  <c r="L18" i="13"/>
  <c r="J18" i="13"/>
  <c r="H18" i="13"/>
  <c r="G18" i="13"/>
  <c r="O18" i="13" s="1"/>
  <c r="N17" i="13"/>
  <c r="M17" i="13"/>
  <c r="L17" i="13"/>
  <c r="J17" i="13"/>
  <c r="H17" i="13"/>
  <c r="G17" i="13"/>
  <c r="O17" i="13" s="1"/>
  <c r="N16" i="13"/>
  <c r="M16" i="13"/>
  <c r="L16" i="13"/>
  <c r="J16" i="13"/>
  <c r="H16" i="13"/>
  <c r="G16" i="13"/>
  <c r="N15" i="13"/>
  <c r="M15" i="13"/>
  <c r="L15" i="13"/>
  <c r="J15" i="13"/>
  <c r="H15" i="13"/>
  <c r="G15" i="13"/>
  <c r="R15" i="13" s="1"/>
  <c r="N14" i="13"/>
  <c r="M14" i="13"/>
  <c r="L14" i="13"/>
  <c r="J14" i="13"/>
  <c r="H14" i="13"/>
  <c r="G14" i="13"/>
  <c r="S14" i="13" s="1"/>
  <c r="P13" i="13"/>
  <c r="N13" i="13"/>
  <c r="M13" i="13"/>
  <c r="L13" i="13"/>
  <c r="J13" i="13"/>
  <c r="H13" i="13"/>
  <c r="G13" i="13"/>
  <c r="S13" i="13" s="1"/>
  <c r="N12" i="13"/>
  <c r="M12" i="13"/>
  <c r="L12" i="13"/>
  <c r="J12" i="13"/>
  <c r="H12" i="13"/>
  <c r="G12" i="13"/>
  <c r="O12" i="13" s="1"/>
  <c r="F12" i="13"/>
  <c r="U12" i="13" s="1"/>
  <c r="N11" i="13"/>
  <c r="M11" i="13"/>
  <c r="L11" i="13"/>
  <c r="J11" i="13"/>
  <c r="H11" i="13"/>
  <c r="G11" i="13"/>
  <c r="F11" i="13" s="1"/>
  <c r="P10" i="13"/>
  <c r="N10" i="13"/>
  <c r="M10" i="13"/>
  <c r="L10" i="13"/>
  <c r="J10" i="13"/>
  <c r="H10" i="13"/>
  <c r="G10" i="13"/>
  <c r="O10" i="13" s="1"/>
  <c r="S9" i="13"/>
  <c r="N9" i="13"/>
  <c r="M9" i="13"/>
  <c r="L9" i="13"/>
  <c r="J9" i="13"/>
  <c r="H9" i="13"/>
  <c r="G9" i="13"/>
  <c r="O9" i="13" s="1"/>
  <c r="F9" i="13"/>
  <c r="V9" i="13" s="1"/>
  <c r="N8" i="13"/>
  <c r="M8" i="13"/>
  <c r="L8" i="13"/>
  <c r="J8" i="13"/>
  <c r="H8" i="13"/>
  <c r="G8" i="13"/>
  <c r="N7" i="13"/>
  <c r="M7" i="13"/>
  <c r="L7" i="13"/>
  <c r="J7" i="13"/>
  <c r="H7" i="13"/>
  <c r="G7" i="13"/>
  <c r="R7" i="13" s="1"/>
  <c r="N6" i="13"/>
  <c r="M6" i="13"/>
  <c r="L6" i="13"/>
  <c r="J6" i="13"/>
  <c r="H6" i="13"/>
  <c r="G6" i="13"/>
  <c r="S6" i="13" s="1"/>
  <c r="R5" i="13"/>
  <c r="N5" i="13"/>
  <c r="M5" i="13"/>
  <c r="L5" i="13"/>
  <c r="J5" i="13"/>
  <c r="H5" i="13"/>
  <c r="I5" i="13" s="1"/>
  <c r="G5" i="13"/>
  <c r="S5" i="13" s="1"/>
  <c r="H2" i="13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H58" i="12"/>
  <c r="I58" i="12" s="1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H57" i="12"/>
  <c r="I57" i="12" s="1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H55" i="12"/>
  <c r="I55" i="12" s="1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H54" i="12"/>
  <c r="I54" i="12" s="1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H52" i="12"/>
  <c r="I52" i="12" s="1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H50" i="12"/>
  <c r="I50" i="12" s="1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H49" i="12"/>
  <c r="I49" i="12" s="1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H47" i="12"/>
  <c r="I47" i="12" s="1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H46" i="12"/>
  <c r="I46" i="12" s="1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H44" i="12"/>
  <c r="I44" i="12" s="1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H42" i="12"/>
  <c r="I42" i="12" s="1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H41" i="12"/>
  <c r="I41" i="12" s="1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H39" i="12"/>
  <c r="I39" i="12" s="1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H38" i="12"/>
  <c r="I38" i="12" s="1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H36" i="12"/>
  <c r="I36" i="12" s="1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H34" i="12"/>
  <c r="I34" i="12" s="1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H33" i="12"/>
  <c r="I33" i="12" s="1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H31" i="12"/>
  <c r="I31" i="12" s="1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H30" i="12"/>
  <c r="I30" i="12" s="1"/>
  <c r="S29" i="12"/>
  <c r="N29" i="12"/>
  <c r="M29" i="12"/>
  <c r="L29" i="12"/>
  <c r="K29" i="12"/>
  <c r="J29" i="12"/>
  <c r="H29" i="12"/>
  <c r="G29" i="12"/>
  <c r="R29" i="12" s="1"/>
  <c r="F29" i="12"/>
  <c r="U29" i="12" s="1"/>
  <c r="N28" i="12"/>
  <c r="M28" i="12"/>
  <c r="L28" i="12"/>
  <c r="J28" i="12"/>
  <c r="H28" i="12"/>
  <c r="I28" i="12" s="1"/>
  <c r="G28" i="12"/>
  <c r="F28" i="12" s="1"/>
  <c r="N27" i="12"/>
  <c r="M27" i="12"/>
  <c r="L27" i="12"/>
  <c r="J27" i="12"/>
  <c r="H27" i="12"/>
  <c r="G27" i="12"/>
  <c r="O27" i="12" s="1"/>
  <c r="N26" i="12"/>
  <c r="M26" i="12"/>
  <c r="L26" i="12"/>
  <c r="K26" i="12"/>
  <c r="J26" i="12"/>
  <c r="H26" i="12"/>
  <c r="G26" i="12"/>
  <c r="O26" i="12" s="1"/>
  <c r="N25" i="12"/>
  <c r="M25" i="12"/>
  <c r="L25" i="12"/>
  <c r="J25" i="12"/>
  <c r="H25" i="12"/>
  <c r="G25" i="12"/>
  <c r="I25" i="12" s="1"/>
  <c r="P24" i="12"/>
  <c r="N24" i="12"/>
  <c r="M24" i="12"/>
  <c r="L24" i="12"/>
  <c r="K24" i="12"/>
  <c r="J24" i="12"/>
  <c r="H24" i="12"/>
  <c r="I24" i="12" s="1"/>
  <c r="G24" i="12"/>
  <c r="R24" i="12" s="1"/>
  <c r="F24" i="12"/>
  <c r="Q24" i="12" s="1"/>
  <c r="N23" i="12"/>
  <c r="M23" i="12"/>
  <c r="L23" i="12"/>
  <c r="J23" i="12"/>
  <c r="I23" i="12"/>
  <c r="H23" i="12"/>
  <c r="G23" i="12"/>
  <c r="S23" i="12" s="1"/>
  <c r="R22" i="12"/>
  <c r="N22" i="12"/>
  <c r="M22" i="12"/>
  <c r="L22" i="12"/>
  <c r="J22" i="12"/>
  <c r="H22" i="12"/>
  <c r="G22" i="12"/>
  <c r="S22" i="12" s="1"/>
  <c r="F22" i="12"/>
  <c r="T22" i="12" s="1"/>
  <c r="N21" i="12"/>
  <c r="M21" i="12"/>
  <c r="L21" i="12"/>
  <c r="J21" i="12"/>
  <c r="H21" i="12"/>
  <c r="G21" i="12"/>
  <c r="R21" i="12" s="1"/>
  <c r="N20" i="12"/>
  <c r="M20" i="12"/>
  <c r="L20" i="12"/>
  <c r="J20" i="12"/>
  <c r="H20" i="12"/>
  <c r="G20" i="12"/>
  <c r="F20" i="12" s="1"/>
  <c r="N19" i="12"/>
  <c r="M19" i="12"/>
  <c r="L19" i="12"/>
  <c r="J19" i="12"/>
  <c r="H19" i="12"/>
  <c r="G19" i="12"/>
  <c r="O19" i="12" s="1"/>
  <c r="R18" i="12"/>
  <c r="N18" i="12"/>
  <c r="M18" i="12"/>
  <c r="L18" i="12"/>
  <c r="K18" i="12"/>
  <c r="J18" i="12"/>
  <c r="H18" i="12"/>
  <c r="I18" i="12" s="1"/>
  <c r="G18" i="12"/>
  <c r="O18" i="12" s="1"/>
  <c r="N17" i="12"/>
  <c r="M17" i="12"/>
  <c r="L17" i="12"/>
  <c r="J17" i="12"/>
  <c r="H17" i="12"/>
  <c r="G17" i="12"/>
  <c r="I17" i="12" s="1"/>
  <c r="N16" i="12"/>
  <c r="M16" i="12"/>
  <c r="L16" i="12"/>
  <c r="J16" i="12"/>
  <c r="H16" i="12"/>
  <c r="G16" i="12"/>
  <c r="R16" i="12" s="1"/>
  <c r="O15" i="12"/>
  <c r="N15" i="12"/>
  <c r="M15" i="12"/>
  <c r="L15" i="12"/>
  <c r="J15" i="12"/>
  <c r="H15" i="12"/>
  <c r="G15" i="12"/>
  <c r="S15" i="12" s="1"/>
  <c r="P14" i="12"/>
  <c r="N14" i="12"/>
  <c r="M14" i="12"/>
  <c r="L14" i="12"/>
  <c r="J14" i="12"/>
  <c r="H14" i="12"/>
  <c r="G14" i="12"/>
  <c r="S14" i="12" s="1"/>
  <c r="S13" i="12"/>
  <c r="N13" i="12"/>
  <c r="M13" i="12"/>
  <c r="L13" i="12"/>
  <c r="K13" i="12"/>
  <c r="J13" i="12"/>
  <c r="H13" i="12"/>
  <c r="G13" i="12"/>
  <c r="R13" i="12" s="1"/>
  <c r="F13" i="12"/>
  <c r="U13" i="12" s="1"/>
  <c r="N12" i="12"/>
  <c r="M12" i="12"/>
  <c r="L12" i="12"/>
  <c r="J12" i="12"/>
  <c r="H12" i="12"/>
  <c r="G12" i="12"/>
  <c r="F12" i="12" s="1"/>
  <c r="N11" i="12"/>
  <c r="M11" i="12"/>
  <c r="L11" i="12"/>
  <c r="J11" i="12"/>
  <c r="H11" i="12"/>
  <c r="G11" i="12"/>
  <c r="O11" i="12" s="1"/>
  <c r="R10" i="12"/>
  <c r="N10" i="12"/>
  <c r="M10" i="12"/>
  <c r="L10" i="12"/>
  <c r="K10" i="12"/>
  <c r="J10" i="12"/>
  <c r="H10" i="12"/>
  <c r="G10" i="12"/>
  <c r="P10" i="12" s="1"/>
  <c r="F10" i="12"/>
  <c r="V10" i="12" s="1"/>
  <c r="R9" i="12"/>
  <c r="N9" i="12"/>
  <c r="M9" i="12"/>
  <c r="L9" i="12"/>
  <c r="J9" i="12"/>
  <c r="H9" i="12"/>
  <c r="I9" i="12" s="1"/>
  <c r="G9" i="12"/>
  <c r="P9" i="12" s="1"/>
  <c r="P8" i="12"/>
  <c r="N8" i="12"/>
  <c r="M8" i="12"/>
  <c r="L8" i="12"/>
  <c r="K8" i="12"/>
  <c r="J8" i="12"/>
  <c r="H8" i="12"/>
  <c r="I8" i="12" s="1"/>
  <c r="G8" i="12"/>
  <c r="R8" i="12" s="1"/>
  <c r="F8" i="12"/>
  <c r="Q8" i="12" s="1"/>
  <c r="N7" i="12"/>
  <c r="M7" i="12"/>
  <c r="L7" i="12"/>
  <c r="J7" i="12"/>
  <c r="H7" i="12"/>
  <c r="G7" i="12"/>
  <c r="S7" i="12" s="1"/>
  <c r="P6" i="12"/>
  <c r="N6" i="12"/>
  <c r="M6" i="12"/>
  <c r="L6" i="12"/>
  <c r="J6" i="12"/>
  <c r="H6" i="12"/>
  <c r="G6" i="12"/>
  <c r="S6" i="12" s="1"/>
  <c r="S5" i="12"/>
  <c r="N5" i="12"/>
  <c r="M5" i="12"/>
  <c r="L5" i="12"/>
  <c r="K5" i="12"/>
  <c r="J5" i="12"/>
  <c r="H5" i="12"/>
  <c r="G5" i="12"/>
  <c r="R5" i="12" s="1"/>
  <c r="F5" i="12"/>
  <c r="U5" i="12" s="1"/>
  <c r="H2" i="12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0" i="11"/>
  <c r="H9" i="11"/>
  <c r="H8" i="11"/>
  <c r="H7" i="11"/>
  <c r="H6" i="11"/>
  <c r="H5" i="11"/>
  <c r="H11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V56" i="11"/>
  <c r="U56" i="11"/>
  <c r="T56" i="11"/>
  <c r="S56" i="11"/>
  <c r="R56" i="11"/>
  <c r="Q56" i="11"/>
  <c r="P56" i="11"/>
  <c r="O56" i="11"/>
  <c r="N56" i="11"/>
  <c r="M56" i="11"/>
  <c r="L56" i="11"/>
  <c r="J56" i="11"/>
  <c r="V55" i="11"/>
  <c r="U55" i="11"/>
  <c r="T55" i="11"/>
  <c r="S55" i="11"/>
  <c r="R55" i="11"/>
  <c r="Q55" i="11"/>
  <c r="P55" i="11"/>
  <c r="O55" i="11"/>
  <c r="N55" i="11"/>
  <c r="M55" i="11"/>
  <c r="L55" i="11"/>
  <c r="J55" i="11"/>
  <c r="V54" i="11"/>
  <c r="U54" i="11"/>
  <c r="T54" i="11"/>
  <c r="S54" i="11"/>
  <c r="R54" i="11"/>
  <c r="Q54" i="11"/>
  <c r="P54" i="11"/>
  <c r="O54" i="11"/>
  <c r="N54" i="11"/>
  <c r="M54" i="11"/>
  <c r="L54" i="11"/>
  <c r="J54" i="11"/>
  <c r="V53" i="11"/>
  <c r="U53" i="11"/>
  <c r="T53" i="11"/>
  <c r="S53" i="11"/>
  <c r="R53" i="11"/>
  <c r="Q53" i="11"/>
  <c r="P53" i="11"/>
  <c r="O53" i="11"/>
  <c r="N53" i="11"/>
  <c r="M53" i="11"/>
  <c r="L53" i="11"/>
  <c r="J53" i="11"/>
  <c r="V52" i="11"/>
  <c r="U52" i="11"/>
  <c r="T52" i="11"/>
  <c r="S52" i="11"/>
  <c r="R52" i="11"/>
  <c r="Q52" i="11"/>
  <c r="P52" i="11"/>
  <c r="O52" i="11"/>
  <c r="N52" i="11"/>
  <c r="M52" i="11"/>
  <c r="L52" i="11"/>
  <c r="J52" i="11"/>
  <c r="V51" i="11"/>
  <c r="U51" i="11"/>
  <c r="T51" i="11"/>
  <c r="S51" i="11"/>
  <c r="R51" i="11"/>
  <c r="Q51" i="11"/>
  <c r="P51" i="11"/>
  <c r="O51" i="11"/>
  <c r="N51" i="11"/>
  <c r="M51" i="11"/>
  <c r="L51" i="11"/>
  <c r="J51" i="11"/>
  <c r="V50" i="11"/>
  <c r="U50" i="11"/>
  <c r="T50" i="11"/>
  <c r="S50" i="11"/>
  <c r="R50" i="11"/>
  <c r="Q50" i="11"/>
  <c r="P50" i="11"/>
  <c r="O50" i="11"/>
  <c r="N50" i="11"/>
  <c r="M50" i="11"/>
  <c r="L50" i="11"/>
  <c r="J50" i="11"/>
  <c r="V49" i="11"/>
  <c r="U49" i="11"/>
  <c r="T49" i="11"/>
  <c r="S49" i="11"/>
  <c r="R49" i="11"/>
  <c r="Q49" i="11"/>
  <c r="P49" i="11"/>
  <c r="O49" i="11"/>
  <c r="N49" i="11"/>
  <c r="M49" i="11"/>
  <c r="L49" i="11"/>
  <c r="J49" i="11"/>
  <c r="V48" i="11"/>
  <c r="U48" i="11"/>
  <c r="T48" i="11"/>
  <c r="S48" i="11"/>
  <c r="R48" i="11"/>
  <c r="Q48" i="11"/>
  <c r="P48" i="11"/>
  <c r="O48" i="11"/>
  <c r="N48" i="11"/>
  <c r="M48" i="11"/>
  <c r="L48" i="11"/>
  <c r="J48" i="11"/>
  <c r="V47" i="11"/>
  <c r="U47" i="11"/>
  <c r="T47" i="11"/>
  <c r="S47" i="11"/>
  <c r="R47" i="11"/>
  <c r="Q47" i="11"/>
  <c r="P47" i="11"/>
  <c r="O47" i="11"/>
  <c r="N47" i="11"/>
  <c r="M47" i="11"/>
  <c r="L47" i="11"/>
  <c r="J47" i="11"/>
  <c r="V46" i="11"/>
  <c r="U46" i="11"/>
  <c r="T46" i="11"/>
  <c r="S46" i="11"/>
  <c r="Q46" i="11"/>
  <c r="P46" i="11"/>
  <c r="O46" i="11"/>
  <c r="N46" i="11"/>
  <c r="M46" i="11"/>
  <c r="L46" i="11"/>
  <c r="J46" i="11"/>
  <c r="V45" i="11"/>
  <c r="U45" i="11"/>
  <c r="T45" i="11"/>
  <c r="S45" i="11"/>
  <c r="Q45" i="11"/>
  <c r="P45" i="11"/>
  <c r="O45" i="11"/>
  <c r="N45" i="11"/>
  <c r="M45" i="11"/>
  <c r="L45" i="11"/>
  <c r="J45" i="11"/>
  <c r="V44" i="11"/>
  <c r="U44" i="11"/>
  <c r="T44" i="11"/>
  <c r="S44" i="11"/>
  <c r="Q44" i="11"/>
  <c r="P44" i="11"/>
  <c r="O44" i="11"/>
  <c r="N44" i="11"/>
  <c r="M44" i="11"/>
  <c r="L44" i="11"/>
  <c r="J44" i="11"/>
  <c r="V43" i="11"/>
  <c r="U43" i="11"/>
  <c r="T43" i="11"/>
  <c r="S43" i="11"/>
  <c r="Q43" i="11"/>
  <c r="P43" i="11"/>
  <c r="O43" i="11"/>
  <c r="N43" i="11"/>
  <c r="M43" i="11"/>
  <c r="L43" i="11"/>
  <c r="J43" i="11"/>
  <c r="V42" i="11"/>
  <c r="U42" i="11"/>
  <c r="T42" i="11"/>
  <c r="S42" i="11"/>
  <c r="Q42" i="11"/>
  <c r="P42" i="11"/>
  <c r="O42" i="11"/>
  <c r="N42" i="11"/>
  <c r="M42" i="11"/>
  <c r="L42" i="11"/>
  <c r="J42" i="11"/>
  <c r="V41" i="11"/>
  <c r="U41" i="11"/>
  <c r="T41" i="11"/>
  <c r="S41" i="11"/>
  <c r="Q41" i="11"/>
  <c r="P41" i="11"/>
  <c r="O41" i="11"/>
  <c r="N41" i="11"/>
  <c r="M41" i="11"/>
  <c r="L41" i="11"/>
  <c r="J41" i="11"/>
  <c r="V40" i="11"/>
  <c r="U40" i="11"/>
  <c r="T40" i="11"/>
  <c r="S40" i="11"/>
  <c r="Q40" i="11"/>
  <c r="P40" i="11"/>
  <c r="O40" i="11"/>
  <c r="N40" i="11"/>
  <c r="M40" i="11"/>
  <c r="L40" i="11"/>
  <c r="J40" i="11"/>
  <c r="V39" i="11"/>
  <c r="U39" i="11"/>
  <c r="T39" i="11"/>
  <c r="S39" i="11"/>
  <c r="Q39" i="11"/>
  <c r="P39" i="11"/>
  <c r="O39" i="11"/>
  <c r="N39" i="11"/>
  <c r="M39" i="11"/>
  <c r="L39" i="11"/>
  <c r="J39" i="11"/>
  <c r="V38" i="11"/>
  <c r="U38" i="11"/>
  <c r="T38" i="11"/>
  <c r="S38" i="11"/>
  <c r="Q38" i="11"/>
  <c r="P38" i="11"/>
  <c r="O38" i="11"/>
  <c r="N38" i="11"/>
  <c r="M38" i="11"/>
  <c r="L38" i="11"/>
  <c r="J38" i="11"/>
  <c r="V37" i="11"/>
  <c r="U37" i="11"/>
  <c r="T37" i="11"/>
  <c r="S37" i="11"/>
  <c r="Q37" i="11"/>
  <c r="P37" i="11"/>
  <c r="O37" i="11"/>
  <c r="N37" i="11"/>
  <c r="M37" i="11"/>
  <c r="L37" i="11"/>
  <c r="J37" i="11"/>
  <c r="V36" i="11"/>
  <c r="U36" i="11"/>
  <c r="T36" i="11"/>
  <c r="S36" i="11"/>
  <c r="Q36" i="11"/>
  <c r="P36" i="11"/>
  <c r="O36" i="11"/>
  <c r="N36" i="11"/>
  <c r="M36" i="11"/>
  <c r="L36" i="11"/>
  <c r="J36" i="11"/>
  <c r="V35" i="11"/>
  <c r="U35" i="11"/>
  <c r="T35" i="11"/>
  <c r="S35" i="11"/>
  <c r="Q35" i="11"/>
  <c r="P35" i="11"/>
  <c r="O35" i="11"/>
  <c r="N35" i="11"/>
  <c r="M35" i="11"/>
  <c r="L35" i="11"/>
  <c r="J35" i="11"/>
  <c r="V34" i="11"/>
  <c r="U34" i="11"/>
  <c r="T34" i="11"/>
  <c r="S34" i="11"/>
  <c r="Q34" i="11"/>
  <c r="P34" i="11"/>
  <c r="O34" i="11"/>
  <c r="N34" i="11"/>
  <c r="M34" i="11"/>
  <c r="L34" i="11"/>
  <c r="J34" i="11"/>
  <c r="V33" i="11"/>
  <c r="U33" i="11"/>
  <c r="T33" i="11"/>
  <c r="S33" i="11"/>
  <c r="Q33" i="11"/>
  <c r="P33" i="11"/>
  <c r="O33" i="11"/>
  <c r="N33" i="11"/>
  <c r="M33" i="11"/>
  <c r="L33" i="11"/>
  <c r="J33" i="11"/>
  <c r="V32" i="11"/>
  <c r="U32" i="11"/>
  <c r="T32" i="11"/>
  <c r="S32" i="11"/>
  <c r="Q32" i="11"/>
  <c r="P32" i="11"/>
  <c r="O32" i="11"/>
  <c r="N32" i="11"/>
  <c r="M32" i="11"/>
  <c r="L32" i="11"/>
  <c r="J32" i="11"/>
  <c r="V31" i="11"/>
  <c r="U31" i="11"/>
  <c r="T31" i="11"/>
  <c r="S31" i="11"/>
  <c r="Q31" i="11"/>
  <c r="P31" i="11"/>
  <c r="O31" i="11"/>
  <c r="N31" i="11"/>
  <c r="M31" i="11"/>
  <c r="L31" i="11"/>
  <c r="J31" i="11"/>
  <c r="V30" i="11"/>
  <c r="U30" i="11"/>
  <c r="T30" i="11"/>
  <c r="S30" i="11"/>
  <c r="Q30" i="11"/>
  <c r="P30" i="11"/>
  <c r="O30" i="11"/>
  <c r="N30" i="11"/>
  <c r="M30" i="11"/>
  <c r="L30" i="11"/>
  <c r="J30" i="11"/>
  <c r="N29" i="11"/>
  <c r="M29" i="11"/>
  <c r="L29" i="11"/>
  <c r="J29" i="11"/>
  <c r="G29" i="11"/>
  <c r="O29" i="11" s="1"/>
  <c r="N28" i="11"/>
  <c r="M28" i="11"/>
  <c r="L28" i="11"/>
  <c r="J28" i="11"/>
  <c r="G28" i="11"/>
  <c r="N27" i="11"/>
  <c r="M27" i="11"/>
  <c r="L27" i="11"/>
  <c r="J27" i="11"/>
  <c r="G27" i="11"/>
  <c r="O27" i="11" s="1"/>
  <c r="N26" i="11"/>
  <c r="M26" i="11"/>
  <c r="L26" i="11"/>
  <c r="J26" i="11"/>
  <c r="G26" i="11"/>
  <c r="O26" i="11" s="1"/>
  <c r="N25" i="11"/>
  <c r="M25" i="11"/>
  <c r="L25" i="11"/>
  <c r="J25" i="11"/>
  <c r="G25" i="11"/>
  <c r="P25" i="11" s="1"/>
  <c r="N24" i="11"/>
  <c r="M24" i="11"/>
  <c r="L24" i="11"/>
  <c r="J24" i="11"/>
  <c r="G24" i="11"/>
  <c r="P24" i="11" s="1"/>
  <c r="N23" i="11"/>
  <c r="M23" i="11"/>
  <c r="L23" i="11"/>
  <c r="J23" i="11"/>
  <c r="G23" i="11"/>
  <c r="N22" i="11"/>
  <c r="M22" i="11"/>
  <c r="L22" i="11"/>
  <c r="J22" i="11"/>
  <c r="G22" i="11"/>
  <c r="N21" i="11"/>
  <c r="M21" i="11"/>
  <c r="L21" i="11"/>
  <c r="J21" i="11"/>
  <c r="G21" i="11"/>
  <c r="O21" i="11" s="1"/>
  <c r="N20" i="11"/>
  <c r="M20" i="11"/>
  <c r="L20" i="11"/>
  <c r="J20" i="11"/>
  <c r="G20" i="11"/>
  <c r="P20" i="11" s="1"/>
  <c r="N19" i="11"/>
  <c r="M19" i="11"/>
  <c r="L19" i="11"/>
  <c r="J19" i="11"/>
  <c r="G19" i="11"/>
  <c r="N18" i="11"/>
  <c r="M18" i="11"/>
  <c r="L18" i="11"/>
  <c r="J18" i="11"/>
  <c r="G18" i="11"/>
  <c r="S18" i="11" s="1"/>
  <c r="N17" i="11"/>
  <c r="M17" i="11"/>
  <c r="L17" i="11"/>
  <c r="J17" i="11"/>
  <c r="G17" i="11"/>
  <c r="O17" i="11" s="1"/>
  <c r="N16" i="11"/>
  <c r="M16" i="11"/>
  <c r="L16" i="11"/>
  <c r="J16" i="11"/>
  <c r="G16" i="11"/>
  <c r="P16" i="11" s="1"/>
  <c r="N15" i="11"/>
  <c r="M15" i="11"/>
  <c r="L15" i="11"/>
  <c r="J15" i="11"/>
  <c r="G15" i="11"/>
  <c r="S15" i="11" s="1"/>
  <c r="N14" i="11"/>
  <c r="M14" i="11"/>
  <c r="L14" i="11"/>
  <c r="J14" i="11"/>
  <c r="G14" i="11"/>
  <c r="N13" i="11"/>
  <c r="M13" i="11"/>
  <c r="L13" i="11"/>
  <c r="J13" i="11"/>
  <c r="G13" i="11"/>
  <c r="S13" i="11" s="1"/>
  <c r="N12" i="11"/>
  <c r="M12" i="11"/>
  <c r="L12" i="11"/>
  <c r="J12" i="11"/>
  <c r="G12" i="11"/>
  <c r="F12" i="11" s="1"/>
  <c r="N11" i="11"/>
  <c r="M11" i="11"/>
  <c r="L11" i="11"/>
  <c r="J11" i="11"/>
  <c r="G11" i="11"/>
  <c r="O11" i="11" s="1"/>
  <c r="N10" i="11"/>
  <c r="M10" i="11"/>
  <c r="L10" i="11"/>
  <c r="J10" i="11"/>
  <c r="G10" i="11"/>
  <c r="P10" i="11" s="1"/>
  <c r="N9" i="11"/>
  <c r="M9" i="11"/>
  <c r="L9" i="11"/>
  <c r="J9" i="11"/>
  <c r="G9" i="11"/>
  <c r="O9" i="11" s="1"/>
  <c r="N8" i="11"/>
  <c r="M8" i="11"/>
  <c r="L8" i="11"/>
  <c r="J8" i="11"/>
  <c r="G8" i="11"/>
  <c r="P8" i="11" s="1"/>
  <c r="N7" i="11"/>
  <c r="M7" i="11"/>
  <c r="L7" i="11"/>
  <c r="J7" i="11"/>
  <c r="G7" i="11"/>
  <c r="S7" i="11" s="1"/>
  <c r="N6" i="11"/>
  <c r="M6" i="11"/>
  <c r="L6" i="11"/>
  <c r="J6" i="11"/>
  <c r="G6" i="11"/>
  <c r="N5" i="11"/>
  <c r="M5" i="11"/>
  <c r="L5" i="11"/>
  <c r="J5" i="11"/>
  <c r="G5" i="11"/>
  <c r="S5" i="11" s="1"/>
  <c r="H2" i="11"/>
  <c r="U9" i="13" l="1"/>
  <c r="I18" i="13"/>
  <c r="I12" i="13"/>
  <c r="I10" i="13"/>
  <c r="P5" i="13"/>
  <c r="K9" i="13"/>
  <c r="K12" i="13"/>
  <c r="I17" i="13"/>
  <c r="K18" i="13"/>
  <c r="R21" i="13"/>
  <c r="F15" i="13"/>
  <c r="Q15" i="13" s="1"/>
  <c r="P20" i="13"/>
  <c r="R12" i="13"/>
  <c r="I15" i="13"/>
  <c r="I6" i="13"/>
  <c r="I16" i="13"/>
  <c r="I8" i="13"/>
  <c r="I24" i="13"/>
  <c r="F8" i="13"/>
  <c r="K10" i="13"/>
  <c r="P12" i="13"/>
  <c r="K19" i="13"/>
  <c r="Q20" i="13"/>
  <c r="P23" i="13"/>
  <c r="P25" i="13"/>
  <c r="S11" i="13"/>
  <c r="F7" i="13"/>
  <c r="V7" i="13" s="1"/>
  <c r="P9" i="13"/>
  <c r="K11" i="13"/>
  <c r="Q12" i="13"/>
  <c r="F16" i="13"/>
  <c r="F17" i="13"/>
  <c r="P17" i="13"/>
  <c r="I20" i="13"/>
  <c r="R20" i="13"/>
  <c r="P21" i="13"/>
  <c r="F23" i="13"/>
  <c r="Q23" i="13" s="1"/>
  <c r="R25" i="13"/>
  <c r="S20" i="13"/>
  <c r="I7" i="13"/>
  <c r="I9" i="13"/>
  <c r="T9" i="13"/>
  <c r="S12" i="13"/>
  <c r="R13" i="13"/>
  <c r="P18" i="13"/>
  <c r="K20" i="13"/>
  <c r="I23" i="13"/>
  <c r="T25" i="13"/>
  <c r="S18" i="13"/>
  <c r="R19" i="13"/>
  <c r="I21" i="13"/>
  <c r="K25" i="13"/>
  <c r="S10" i="13"/>
  <c r="R11" i="13"/>
  <c r="I13" i="13"/>
  <c r="I14" i="13"/>
  <c r="S19" i="13"/>
  <c r="V11" i="13"/>
  <c r="U11" i="13"/>
  <c r="T11" i="13"/>
  <c r="Q11" i="13"/>
  <c r="V19" i="13"/>
  <c r="U19" i="13"/>
  <c r="T19" i="13"/>
  <c r="Q19" i="13"/>
  <c r="V27" i="13"/>
  <c r="U27" i="13"/>
  <c r="T27" i="13"/>
  <c r="Q27" i="13"/>
  <c r="O14" i="13"/>
  <c r="P7" i="13"/>
  <c r="Q9" i="13"/>
  <c r="O11" i="13"/>
  <c r="Q25" i="13"/>
  <c r="O27" i="13"/>
  <c r="F5" i="13"/>
  <c r="T7" i="13"/>
  <c r="K8" i="13"/>
  <c r="S8" i="13"/>
  <c r="R9" i="13"/>
  <c r="P11" i="13"/>
  <c r="F13" i="13"/>
  <c r="T15" i="13"/>
  <c r="K16" i="13"/>
  <c r="S16" i="13"/>
  <c r="R17" i="13"/>
  <c r="P19" i="13"/>
  <c r="F21" i="13"/>
  <c r="T23" i="13"/>
  <c r="K24" i="13"/>
  <c r="S24" i="13"/>
  <c r="P27" i="13"/>
  <c r="O28" i="13"/>
  <c r="V29" i="13"/>
  <c r="K7" i="13"/>
  <c r="S7" i="13"/>
  <c r="R8" i="13"/>
  <c r="V12" i="13"/>
  <c r="K15" i="13"/>
  <c r="S15" i="13"/>
  <c r="R16" i="13"/>
  <c r="O19" i="13"/>
  <c r="V20" i="13"/>
  <c r="K23" i="13"/>
  <c r="S23" i="13"/>
  <c r="R24" i="13"/>
  <c r="O5" i="13"/>
  <c r="F6" i="13"/>
  <c r="U7" i="13"/>
  <c r="T8" i="13"/>
  <c r="R10" i="13"/>
  <c r="I11" i="13"/>
  <c r="O13" i="13"/>
  <c r="F14" i="13"/>
  <c r="U15" i="13"/>
  <c r="T16" i="13"/>
  <c r="K17" i="13"/>
  <c r="S17" i="13"/>
  <c r="R18" i="13"/>
  <c r="I19" i="13"/>
  <c r="O21" i="13"/>
  <c r="F22" i="13"/>
  <c r="U23" i="13"/>
  <c r="R26" i="13"/>
  <c r="O29" i="13"/>
  <c r="O22" i="13"/>
  <c r="O6" i="13"/>
  <c r="O7" i="13"/>
  <c r="V8" i="13"/>
  <c r="P14" i="13"/>
  <c r="O15" i="13"/>
  <c r="V16" i="13"/>
  <c r="P22" i="13"/>
  <c r="O23" i="13"/>
  <c r="F24" i="13"/>
  <c r="U25" i="13"/>
  <c r="P15" i="13"/>
  <c r="O16" i="13"/>
  <c r="I22" i="13"/>
  <c r="V15" i="13"/>
  <c r="V23" i="13"/>
  <c r="O24" i="13"/>
  <c r="K5" i="13"/>
  <c r="R6" i="13"/>
  <c r="Q7" i="13"/>
  <c r="P8" i="13"/>
  <c r="F10" i="13"/>
  <c r="T12" i="13"/>
  <c r="K13" i="13"/>
  <c r="R14" i="13"/>
  <c r="P16" i="13"/>
  <c r="F18" i="13"/>
  <c r="T20" i="13"/>
  <c r="K21" i="13"/>
  <c r="R22" i="13"/>
  <c r="P24" i="13"/>
  <c r="F26" i="13"/>
  <c r="T28" i="13"/>
  <c r="K29" i="13"/>
  <c r="P6" i="13"/>
  <c r="O8" i="13"/>
  <c r="K6" i="13"/>
  <c r="K14" i="13"/>
  <c r="K22" i="13"/>
  <c r="U28" i="13"/>
  <c r="I26" i="12"/>
  <c r="R26" i="12"/>
  <c r="F21" i="12"/>
  <c r="U21" i="12" s="1"/>
  <c r="S21" i="12"/>
  <c r="P22" i="12"/>
  <c r="S26" i="12"/>
  <c r="P27" i="12"/>
  <c r="R27" i="12"/>
  <c r="U22" i="12"/>
  <c r="I27" i="12"/>
  <c r="S27" i="12"/>
  <c r="I20" i="12"/>
  <c r="I22" i="12"/>
  <c r="S24" i="12"/>
  <c r="R25" i="12"/>
  <c r="K21" i="12"/>
  <c r="T24" i="12"/>
  <c r="F26" i="12"/>
  <c r="K27" i="12"/>
  <c r="P26" i="12"/>
  <c r="R11" i="12"/>
  <c r="F6" i="12"/>
  <c r="R6" i="12"/>
  <c r="I11" i="12"/>
  <c r="S11" i="12"/>
  <c r="F14" i="12"/>
  <c r="R14" i="12"/>
  <c r="S18" i="12"/>
  <c r="P19" i="12"/>
  <c r="R19" i="12"/>
  <c r="I6" i="12"/>
  <c r="S8" i="12"/>
  <c r="K11" i="12"/>
  <c r="I12" i="12"/>
  <c r="I14" i="12"/>
  <c r="F16" i="12"/>
  <c r="V16" i="12" s="1"/>
  <c r="P16" i="12"/>
  <c r="I19" i="12"/>
  <c r="S19" i="12"/>
  <c r="T8" i="12"/>
  <c r="S16" i="12"/>
  <c r="R17" i="12"/>
  <c r="I7" i="12"/>
  <c r="Q10" i="12"/>
  <c r="I15" i="12"/>
  <c r="I16" i="12"/>
  <c r="F18" i="12"/>
  <c r="K19" i="12"/>
  <c r="P18" i="12"/>
  <c r="I10" i="12"/>
  <c r="S10" i="12"/>
  <c r="P11" i="12"/>
  <c r="K16" i="12"/>
  <c r="V12" i="12"/>
  <c r="U12" i="12"/>
  <c r="T12" i="12"/>
  <c r="Q12" i="12"/>
  <c r="V20" i="12"/>
  <c r="T20" i="12"/>
  <c r="U20" i="12"/>
  <c r="Q20" i="12"/>
  <c r="V28" i="12"/>
  <c r="U28" i="12"/>
  <c r="T28" i="12"/>
  <c r="Q28" i="12"/>
  <c r="V5" i="12"/>
  <c r="V29" i="12"/>
  <c r="S25" i="12"/>
  <c r="P28" i="12"/>
  <c r="P5" i="12"/>
  <c r="O6" i="12"/>
  <c r="F7" i="12"/>
  <c r="U8" i="12"/>
  <c r="P13" i="12"/>
  <c r="O14" i="12"/>
  <c r="F15" i="12"/>
  <c r="P21" i="12"/>
  <c r="O22" i="12"/>
  <c r="F23" i="12"/>
  <c r="U24" i="12"/>
  <c r="P29" i="12"/>
  <c r="O28" i="12"/>
  <c r="O5" i="12"/>
  <c r="V6" i="12"/>
  <c r="O13" i="12"/>
  <c r="V14" i="12"/>
  <c r="K17" i="12"/>
  <c r="P20" i="12"/>
  <c r="O21" i="12"/>
  <c r="O29" i="12"/>
  <c r="I5" i="12"/>
  <c r="Q5" i="12"/>
  <c r="V8" i="12"/>
  <c r="R12" i="12"/>
  <c r="I13" i="12"/>
  <c r="Q13" i="12"/>
  <c r="T18" i="12"/>
  <c r="R20" i="12"/>
  <c r="I21" i="12"/>
  <c r="Q21" i="12"/>
  <c r="O23" i="12"/>
  <c r="V24" i="12"/>
  <c r="T26" i="12"/>
  <c r="R28" i="12"/>
  <c r="I29" i="12"/>
  <c r="Q29" i="12"/>
  <c r="O20" i="12"/>
  <c r="K9" i="12"/>
  <c r="S9" i="12"/>
  <c r="P12" i="12"/>
  <c r="S17" i="12"/>
  <c r="V22" i="12"/>
  <c r="K25" i="12"/>
  <c r="O7" i="12"/>
  <c r="T10" i="12"/>
  <c r="Q6" i="12"/>
  <c r="P7" i="12"/>
  <c r="O8" i="12"/>
  <c r="F9" i="12"/>
  <c r="U10" i="12"/>
  <c r="K12" i="12"/>
  <c r="S12" i="12"/>
  <c r="Q14" i="12"/>
  <c r="P15" i="12"/>
  <c r="O16" i="12"/>
  <c r="F17" i="12"/>
  <c r="U18" i="12"/>
  <c r="K20" i="12"/>
  <c r="S20" i="12"/>
  <c r="Q22" i="12"/>
  <c r="P23" i="12"/>
  <c r="O24" i="12"/>
  <c r="F25" i="12"/>
  <c r="U26" i="12"/>
  <c r="K28" i="12"/>
  <c r="S28" i="12"/>
  <c r="O12" i="12"/>
  <c r="V13" i="12"/>
  <c r="V21" i="12"/>
  <c r="O9" i="12"/>
  <c r="T5" i="12"/>
  <c r="K6" i="12"/>
  <c r="R7" i="12"/>
  <c r="O10" i="12"/>
  <c r="F11" i="12"/>
  <c r="T13" i="12"/>
  <c r="K14" i="12"/>
  <c r="R15" i="12"/>
  <c r="P17" i="12"/>
  <c r="F19" i="12"/>
  <c r="T21" i="12"/>
  <c r="K22" i="12"/>
  <c r="R23" i="12"/>
  <c r="P25" i="12"/>
  <c r="F27" i="12"/>
  <c r="T29" i="12"/>
  <c r="O17" i="12"/>
  <c r="O25" i="12"/>
  <c r="K7" i="12"/>
  <c r="K15" i="12"/>
  <c r="K23" i="12"/>
  <c r="S6" i="11"/>
  <c r="F5" i="11"/>
  <c r="U5" i="11" s="1"/>
  <c r="S9" i="11"/>
  <c r="F6" i="11"/>
  <c r="T6" i="11" s="1"/>
  <c r="P29" i="11"/>
  <c r="S14" i="11"/>
  <c r="F14" i="11"/>
  <c r="T14" i="11" s="1"/>
  <c r="P26" i="11"/>
  <c r="S25" i="11"/>
  <c r="F11" i="11"/>
  <c r="V11" i="11" s="1"/>
  <c r="P11" i="11"/>
  <c r="S26" i="11"/>
  <c r="P27" i="11"/>
  <c r="S11" i="11"/>
  <c r="S27" i="11"/>
  <c r="F29" i="11"/>
  <c r="T29" i="11" s="1"/>
  <c r="F25" i="11"/>
  <c r="Q25" i="11" s="1"/>
  <c r="F8" i="11"/>
  <c r="F17" i="11"/>
  <c r="V17" i="11" s="1"/>
  <c r="S8" i="11"/>
  <c r="P17" i="11"/>
  <c r="S17" i="11"/>
  <c r="P21" i="11"/>
  <c r="F7" i="11"/>
  <c r="V7" i="11" s="1"/>
  <c r="F9" i="11"/>
  <c r="P9" i="11"/>
  <c r="F13" i="11"/>
  <c r="U13" i="11" s="1"/>
  <c r="F16" i="11"/>
  <c r="V16" i="11" s="1"/>
  <c r="O19" i="11"/>
  <c r="F21" i="11"/>
  <c r="V21" i="11" s="1"/>
  <c r="F19" i="11"/>
  <c r="Q19" i="11" s="1"/>
  <c r="V12" i="11"/>
  <c r="U12" i="11"/>
  <c r="T12" i="11"/>
  <c r="Q12" i="11"/>
  <c r="O6" i="11"/>
  <c r="S10" i="11"/>
  <c r="P13" i="11"/>
  <c r="O14" i="11"/>
  <c r="F15" i="11"/>
  <c r="P19" i="11"/>
  <c r="F23" i="11"/>
  <c r="O23" i="11"/>
  <c r="S24" i="11"/>
  <c r="O12" i="11"/>
  <c r="O13" i="11"/>
  <c r="F18" i="11"/>
  <c r="O18" i="11"/>
  <c r="S20" i="11"/>
  <c r="P23" i="11"/>
  <c r="S28" i="11"/>
  <c r="O20" i="11"/>
  <c r="O24" i="11"/>
  <c r="V6" i="11"/>
  <c r="P12" i="11"/>
  <c r="P14" i="11"/>
  <c r="O15" i="11"/>
  <c r="O8" i="11"/>
  <c r="S12" i="11"/>
  <c r="O16" i="11"/>
  <c r="S19" i="11"/>
  <c r="F22" i="11"/>
  <c r="O22" i="11"/>
  <c r="S23" i="11"/>
  <c r="V29" i="11"/>
  <c r="U29" i="11"/>
  <c r="O5" i="11"/>
  <c r="P5" i="11"/>
  <c r="P6" i="11"/>
  <c r="O7" i="11"/>
  <c r="Q6" i="11"/>
  <c r="P7" i="11"/>
  <c r="T11" i="11"/>
  <c r="P15" i="11"/>
  <c r="P18" i="11"/>
  <c r="F10" i="11"/>
  <c r="U11" i="11"/>
  <c r="P22" i="11"/>
  <c r="O10" i="11"/>
  <c r="V25" i="11"/>
  <c r="S16" i="11"/>
  <c r="F20" i="11"/>
  <c r="S22" i="11"/>
  <c r="F24" i="11"/>
  <c r="P28" i="11"/>
  <c r="F28" i="11"/>
  <c r="O28" i="11"/>
  <c r="S21" i="11"/>
  <c r="O25" i="11"/>
  <c r="F26" i="11"/>
  <c r="S29" i="11"/>
  <c r="F27" i="11"/>
  <c r="Q5" i="11" l="1"/>
  <c r="T5" i="11"/>
  <c r="U25" i="11"/>
  <c r="T25" i="11"/>
  <c r="V5" i="11"/>
  <c r="V17" i="13"/>
  <c r="U17" i="13"/>
  <c r="T17" i="13"/>
  <c r="Q16" i="13"/>
  <c r="U16" i="13"/>
  <c r="Q17" i="13"/>
  <c r="Q8" i="13"/>
  <c r="U8" i="13"/>
  <c r="V18" i="13"/>
  <c r="U18" i="13"/>
  <c r="T18" i="13"/>
  <c r="Q18" i="13"/>
  <c r="Q24" i="13"/>
  <c r="V24" i="13"/>
  <c r="U24" i="13"/>
  <c r="T24" i="13"/>
  <c r="V26" i="13"/>
  <c r="U26" i="13"/>
  <c r="T26" i="13"/>
  <c r="Q26" i="13"/>
  <c r="Q6" i="13"/>
  <c r="V6" i="13"/>
  <c r="U6" i="13"/>
  <c r="T6" i="13"/>
  <c r="T10" i="13"/>
  <c r="V10" i="13"/>
  <c r="U10" i="13"/>
  <c r="Q10" i="13"/>
  <c r="T5" i="13"/>
  <c r="Q5" i="13"/>
  <c r="V5" i="13"/>
  <c r="U5" i="13"/>
  <c r="T21" i="13"/>
  <c r="Q21" i="13"/>
  <c r="V21" i="13"/>
  <c r="U21" i="13"/>
  <c r="Q22" i="13"/>
  <c r="V22" i="13"/>
  <c r="U22" i="13"/>
  <c r="T22" i="13"/>
  <c r="Q14" i="13"/>
  <c r="V14" i="13"/>
  <c r="T14" i="13"/>
  <c r="U14" i="13"/>
  <c r="T13" i="13"/>
  <c r="Q13" i="13"/>
  <c r="U13" i="13"/>
  <c r="V13" i="13"/>
  <c r="V26" i="12"/>
  <c r="Q26" i="12"/>
  <c r="T14" i="12"/>
  <c r="U14" i="12"/>
  <c r="V18" i="12"/>
  <c r="Q18" i="12"/>
  <c r="Q16" i="12"/>
  <c r="T16" i="12"/>
  <c r="T6" i="12"/>
  <c r="U6" i="12"/>
  <c r="U16" i="12"/>
  <c r="Q25" i="12"/>
  <c r="V25" i="12"/>
  <c r="U25" i="12"/>
  <c r="T25" i="12"/>
  <c r="Q15" i="12"/>
  <c r="T15" i="12"/>
  <c r="U15" i="12"/>
  <c r="V15" i="12"/>
  <c r="U27" i="12"/>
  <c r="V27" i="12"/>
  <c r="T27" i="12"/>
  <c r="Q27" i="12"/>
  <c r="V11" i="12"/>
  <c r="U11" i="12"/>
  <c r="T11" i="12"/>
  <c r="Q11" i="12"/>
  <c r="Q9" i="12"/>
  <c r="V9" i="12"/>
  <c r="U9" i="12"/>
  <c r="T9" i="12"/>
  <c r="U19" i="12"/>
  <c r="V19" i="12"/>
  <c r="T19" i="12"/>
  <c r="Q19" i="12"/>
  <c r="Q17" i="12"/>
  <c r="V17" i="12"/>
  <c r="U17" i="12"/>
  <c r="T17" i="12"/>
  <c r="Q23" i="12"/>
  <c r="U23" i="12"/>
  <c r="T23" i="12"/>
  <c r="V23" i="12"/>
  <c r="Q7" i="12"/>
  <c r="T7" i="12"/>
  <c r="V7" i="12"/>
  <c r="U7" i="12"/>
  <c r="V19" i="11"/>
  <c r="T13" i="11"/>
  <c r="U6" i="11"/>
  <c r="Q13" i="11"/>
  <c r="V13" i="11"/>
  <c r="Q29" i="11"/>
  <c r="T19" i="11"/>
  <c r="U19" i="11"/>
  <c r="V14" i="11"/>
  <c r="Q14" i="11"/>
  <c r="U14" i="11"/>
  <c r="U21" i="11"/>
  <c r="Q11" i="11"/>
  <c r="Q17" i="11"/>
  <c r="U17" i="11"/>
  <c r="T17" i="11"/>
  <c r="V9" i="11"/>
  <c r="U9" i="11"/>
  <c r="T9" i="11"/>
  <c r="Q9" i="11"/>
  <c r="Q7" i="11"/>
  <c r="T7" i="11"/>
  <c r="U7" i="11"/>
  <c r="Q16" i="11"/>
  <c r="U16" i="11"/>
  <c r="T16" i="11"/>
  <c r="Q21" i="11"/>
  <c r="T21" i="11"/>
  <c r="V8" i="11"/>
  <c r="Q8" i="11"/>
  <c r="U8" i="11"/>
  <c r="T8" i="11"/>
  <c r="V22" i="11"/>
  <c r="Q22" i="11"/>
  <c r="T22" i="11"/>
  <c r="U22" i="11"/>
  <c r="V26" i="11"/>
  <c r="Q26" i="11"/>
  <c r="U26" i="11"/>
  <c r="T26" i="11"/>
  <c r="V28" i="11"/>
  <c r="U28" i="11"/>
  <c r="T28" i="11"/>
  <c r="Q28" i="11"/>
  <c r="Q27" i="11"/>
  <c r="V27" i="11"/>
  <c r="U27" i="11"/>
  <c r="T27" i="11"/>
  <c r="T20" i="11"/>
  <c r="V20" i="11"/>
  <c r="U20" i="11"/>
  <c r="Q20" i="11"/>
  <c r="V18" i="11"/>
  <c r="U18" i="11"/>
  <c r="T18" i="11"/>
  <c r="Q18" i="11"/>
  <c r="Q15" i="11"/>
  <c r="T15" i="11"/>
  <c r="V15" i="11"/>
  <c r="U15" i="11"/>
  <c r="T24" i="11"/>
  <c r="Q24" i="11"/>
  <c r="V24" i="11"/>
  <c r="U24" i="11"/>
  <c r="Q10" i="11"/>
  <c r="V10" i="11"/>
  <c r="U10" i="11"/>
  <c r="T10" i="11"/>
  <c r="U23" i="11"/>
  <c r="Q23" i="11"/>
  <c r="V23" i="11"/>
  <c r="T23" i="11"/>
  <c r="B100" i="2" l="1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<sst xmlns="http://schemas.openxmlformats.org/spreadsheetml/2006/main" count="1147" uniqueCount="135">
  <si>
    <t>CREATED_BY</t>
  </si>
  <si>
    <t>CREATED_DT</t>
  </si>
  <si>
    <t>UPDATED_BY</t>
  </si>
  <si>
    <t>UPDATED_DT</t>
  </si>
  <si>
    <t>FUNC_ID</t>
  </si>
  <si>
    <t>VARCHAR</t>
  </si>
  <si>
    <t>DECIMAL</t>
  </si>
  <si>
    <t>新增人員</t>
  </si>
  <si>
    <t>新增日期時間</t>
  </si>
  <si>
    <t>DATETIME</t>
  </si>
  <si>
    <t>更新人員</t>
  </si>
  <si>
    <t>更新日期時間</t>
  </si>
  <si>
    <t>更新作業FunctionID</t>
  </si>
  <si>
    <t>C#欄位型態</t>
    <phoneticPr fontId="1" type="noConversion"/>
  </si>
  <si>
    <t>C#Model</t>
    <phoneticPr fontId="1" type="noConversion"/>
  </si>
  <si>
    <t>參數1</t>
    <phoneticPr fontId="1" type="noConversion"/>
  </si>
  <si>
    <t>paramDt.Add(1)</t>
    <phoneticPr fontId="1" type="noConversion"/>
  </si>
  <si>
    <t>查詢條件</t>
    <phoneticPr fontId="1" type="noConversion"/>
  </si>
  <si>
    <t>查詢欄位</t>
    <phoneticPr fontId="1" type="noConversion"/>
  </si>
  <si>
    <t>INSERT欄位</t>
    <phoneticPr fontId="1" type="noConversion"/>
  </si>
  <si>
    <t>INSERT參數</t>
    <phoneticPr fontId="1" type="noConversion"/>
  </si>
  <si>
    <t>UPDATE</t>
    <phoneticPr fontId="1" type="noConversion"/>
  </si>
  <si>
    <t>paramDt.Add(2)</t>
    <phoneticPr fontId="1" type="noConversion"/>
  </si>
  <si>
    <t>參數2</t>
    <phoneticPr fontId="1" type="noConversion"/>
  </si>
  <si>
    <t>columnList</t>
    <phoneticPr fontId="1" type="noConversion"/>
  </si>
  <si>
    <t>zh.json</t>
    <phoneticPr fontId="1" type="noConversion"/>
  </si>
  <si>
    <t>setDefaultValue</t>
    <phoneticPr fontId="1" type="noConversion"/>
  </si>
  <si>
    <t xml:space="preserve"> 讀取 cell 資料</t>
    <phoneticPr fontId="1" type="noConversion"/>
  </si>
  <si>
    <t>檢查Excel-Error</t>
    <phoneticPr fontId="1" type="noConversion"/>
  </si>
  <si>
    <t>寫入Excel cell 資料</t>
    <phoneticPr fontId="1" type="noConversion"/>
  </si>
  <si>
    <t>NVARCHAR</t>
  </si>
  <si>
    <t>CAR_CD</t>
  </si>
  <si>
    <t>PLANT_CD</t>
  </si>
  <si>
    <t>COUNTRY_CD</t>
  </si>
  <si>
    <t>MOD_CD</t>
  </si>
  <si>
    <t>MOD_TYPE</t>
  </si>
  <si>
    <t>MEMO</t>
  </si>
  <si>
    <t>車種</t>
  </si>
  <si>
    <t>工廠區分</t>
  </si>
  <si>
    <t>國別</t>
  </si>
  <si>
    <t>計畫作業時間</t>
  </si>
  <si>
    <t>備註</t>
  </si>
  <si>
    <t>INT</t>
  </si>
  <si>
    <t>Diagram資料</t>
  </si>
  <si>
    <t>IMPORT_COUNTRY</t>
  </si>
  <si>
    <t>EXPORT_COUNTRY</t>
  </si>
  <si>
    <t>ORDER_DT</t>
  </si>
  <si>
    <t>VANNING_DT</t>
  </si>
  <si>
    <t>VOLUME</t>
  </si>
  <si>
    <t>LOADING_DT</t>
  </si>
  <si>
    <t>UN_LOADING_DT</t>
  </si>
  <si>
    <t>PRODUCTION_DT</t>
  </si>
  <si>
    <t>USED_VOLUME</t>
  </si>
  <si>
    <t>輸入國別</t>
  </si>
  <si>
    <t>輸出國別</t>
  </si>
  <si>
    <t>捆包日期</t>
  </si>
  <si>
    <t>裝櫃日期</t>
  </si>
  <si>
    <t>捆包總台數</t>
  </si>
  <si>
    <t>出船日期</t>
  </si>
  <si>
    <t>到港日期</t>
  </si>
  <si>
    <t>開捆日期</t>
  </si>
  <si>
    <t>台數</t>
  </si>
  <si>
    <t>TB_P_M_UN_PACK_PLAN</t>
  </si>
  <si>
    <t>開捆指示檔</t>
    <phoneticPr fontId="1" type="noConversion"/>
  </si>
  <si>
    <t>SHIFT_CD</t>
  </si>
  <si>
    <t>SHIFT_SORT</t>
  </si>
  <si>
    <t>UN_PACK_UNIT</t>
  </si>
  <si>
    <t>UN_PACK_SORT</t>
  </si>
  <si>
    <t>MOD_NO</t>
  </si>
  <si>
    <t>PLAN_VOLUME</t>
  </si>
  <si>
    <t>REAL_VOLUME</t>
  </si>
  <si>
    <t>PLAN_TIMES</t>
  </si>
  <si>
    <t>START_TM</t>
  </si>
  <si>
    <t>END_TM</t>
  </si>
  <si>
    <t>REAL_TIMES</t>
  </si>
  <si>
    <t>UN_PACK_STATUS</t>
  </si>
  <si>
    <t>日期</t>
  </si>
  <si>
    <t>直別</t>
  </si>
  <si>
    <t>直別開捆順序</t>
  </si>
  <si>
    <t>開捆台</t>
  </si>
  <si>
    <t>開捆順序</t>
  </si>
  <si>
    <t>計畫開捆台數</t>
  </si>
  <si>
    <t>實際開捆台數</t>
  </si>
  <si>
    <t>開始開捆時間</t>
  </si>
  <si>
    <t>結束開捆時間</t>
  </si>
  <si>
    <t>實際作業時間</t>
  </si>
  <si>
    <t>開捆狀態</t>
  </si>
  <si>
    <t>WK_DT</t>
  </si>
  <si>
    <t>下櫃指示檔</t>
    <phoneticPr fontId="1" type="noConversion"/>
  </si>
  <si>
    <t>DOCK_CD</t>
  </si>
  <si>
    <t>CNTR_NO</t>
  </si>
  <si>
    <t>CNTR_SN</t>
  </si>
  <si>
    <t>UN_CNTR_SORT</t>
  </si>
  <si>
    <t>CNTR_TYPE</t>
  </si>
  <si>
    <t>碼頭NO</t>
  </si>
  <si>
    <t>貨櫃NO</t>
  </si>
  <si>
    <t>貨櫃連番</t>
  </si>
  <si>
    <t>下櫃順序</t>
  </si>
  <si>
    <t>櫃別</t>
  </si>
  <si>
    <t>理論作業時間</t>
  </si>
  <si>
    <t>開始下櫃時間</t>
  </si>
  <si>
    <t>結束下櫃時間</t>
  </si>
  <si>
    <t>下櫃狀態</t>
  </si>
  <si>
    <t>計畫下櫃台數</t>
  </si>
  <si>
    <t>實際下櫃台數</t>
  </si>
  <si>
    <t>DECIMAL</t>
    <phoneticPr fontId="1" type="noConversion"/>
  </si>
  <si>
    <t>MOD搬入紀錄檔</t>
    <phoneticPr fontId="1" type="noConversion"/>
  </si>
  <si>
    <t>IMEI_NO</t>
  </si>
  <si>
    <t>WORK_ID</t>
  </si>
  <si>
    <t>SKID_LANE</t>
  </si>
  <si>
    <t>MOD_TYPE</t>
    <phoneticPr fontId="1" type="noConversion"/>
  </si>
  <si>
    <t>MOD_NO</t>
    <phoneticPr fontId="1" type="noConversion"/>
  </si>
  <si>
    <t>MOD_CD</t>
    <phoneticPr fontId="1" type="noConversion"/>
  </si>
  <si>
    <t>IMEI_NO</t>
    <phoneticPr fontId="1" type="noConversion"/>
  </si>
  <si>
    <t>搬入者工號</t>
    <phoneticPr fontId="1" type="noConversion"/>
  </si>
  <si>
    <t>實際搬入時間</t>
    <phoneticPr fontId="1" type="noConversion"/>
  </si>
  <si>
    <t>SKID_LAND</t>
    <phoneticPr fontId="1" type="noConversion"/>
  </si>
  <si>
    <t>int</t>
  </si>
  <si>
    <t>datetime</t>
  </si>
  <si>
    <t>考核區分設定檔</t>
  </si>
  <si>
    <t>DISTING_DESC</t>
  </si>
  <si>
    <t>IS_OUT</t>
  </si>
  <si>
    <t>IS_REMARK</t>
  </si>
  <si>
    <t>IS_VALID</t>
  </si>
  <si>
    <t>CONTENT</t>
  </si>
  <si>
    <t>REMARK</t>
  </si>
  <si>
    <t>USER_UP_YN</t>
  </si>
  <si>
    <t>考核區分代碼</t>
  </si>
  <si>
    <t>考核區分說明</t>
  </si>
  <si>
    <t>是否為外數區分</t>
  </si>
  <si>
    <t>備考對象</t>
  </si>
  <si>
    <t>是否生效</t>
  </si>
  <si>
    <t>備考內容(顯示用)</t>
  </si>
  <si>
    <t>使用者可否修改</t>
  </si>
  <si>
    <t>DISTING_CD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</si>
</sst>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ＭＳ 明朝"/>
      <family val="3"/>
      <charset val="128"/>
    </font>
    <font>
      <sz val="11"/>
      <name val="微軟正黑體"/>
      <family val="2"/>
      <charset val="136"/>
    </font>
    <font>
      <sz val="12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6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4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3">
    <cellStyle name="一般" xfId="0" builtinId="0"/>
    <cellStyle name="一般 2" xfId="2" xr:uid="{85434C0E-1AA4-4D7B-AB0F-37525990FC67}"/>
    <cellStyle name="標準_Table" xfId="1" xr:uid="{E3A0CC55-A4C5-4AAA-82D4-3B0AB2BA78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8F55-8FD8-49F1-A05E-5D92AB742184}">
  <dimension ref="A1:B100"/>
  <sheetViews>
    <sheetView workbookViewId="0">
      <selection activeCell="I7" sqref="I7"/>
    </sheetView>
  </sheetViews>
  <sheetFormatPr defaultRowHeight="17" x14ac:dyDescent="0.4"/>
  <sheetData>
    <row r="1" spans="1:2" x14ac:dyDescent="0.4">
      <c r="A1">
        <v>1</v>
      </c>
      <c r="B1" t="str">
        <f>""""&amp;" AND t1."&amp; """" &amp; "&amp;B" &amp; A1 &amp; "&amp;"&amp;""""&amp;" = "&amp;""""&amp;"&amp;"&amp;""""&amp;"@"&amp;""""&amp;"&amp;B" &amp; A1&amp;"&amp;CHAR(10)"&amp;"&amp;"</f>
        <v>" AND t1."&amp;B1&amp;" = "&amp;"@"&amp;B1&amp;CHAR(10)&amp;</v>
      </c>
    </row>
    <row r="2" spans="1:2" x14ac:dyDescent="0.4">
      <c r="A2">
        <v>2</v>
      </c>
      <c r="B2" t="str">
        <f t="shared" ref="B2:B65" si="0">""""&amp;" AND t1."&amp; """" &amp; "&amp;B" &amp; A2 &amp; "&amp;"&amp;""""&amp;" = "&amp;""""&amp;"&amp;"&amp;""""&amp;"@"&amp;""""&amp;"&amp;B" &amp; A2&amp;"&amp;CHAR(10)"&amp;"&amp;"</f>
        <v>" AND t1."&amp;B2&amp;" = "&amp;"@"&amp;B2&amp;CHAR(10)&amp;</v>
      </c>
    </row>
    <row r="3" spans="1:2" x14ac:dyDescent="0.4">
      <c r="A3">
        <v>3</v>
      </c>
      <c r="B3" t="str">
        <f t="shared" si="0"/>
        <v>" AND t1."&amp;B3&amp;" = "&amp;"@"&amp;B3&amp;CHAR(10)&amp;</v>
      </c>
    </row>
    <row r="4" spans="1:2" x14ac:dyDescent="0.4">
      <c r="A4">
        <v>4</v>
      </c>
      <c r="B4" t="str">
        <f t="shared" si="0"/>
        <v>" AND t1."&amp;B4&amp;" = "&amp;"@"&amp;B4&amp;CHAR(10)&amp;</v>
      </c>
    </row>
    <row r="5" spans="1:2" x14ac:dyDescent="0.4">
      <c r="A5">
        <v>5</v>
      </c>
      <c r="B5" t="str">
        <f t="shared" si="0"/>
        <v>" AND t1."&amp;B5&amp;" = "&amp;"@"&amp;B5&amp;CHAR(10)&amp;</v>
      </c>
    </row>
    <row r="6" spans="1:2" x14ac:dyDescent="0.4">
      <c r="A6">
        <v>6</v>
      </c>
      <c r="B6" t="str">
        <f t="shared" si="0"/>
        <v>" AND t1."&amp;B6&amp;" = "&amp;"@"&amp;B6&amp;CHAR(10)&amp;</v>
      </c>
    </row>
    <row r="7" spans="1:2" x14ac:dyDescent="0.4">
      <c r="A7">
        <v>7</v>
      </c>
      <c r="B7" t="str">
        <f t="shared" si="0"/>
        <v>" AND t1."&amp;B7&amp;" = "&amp;"@"&amp;B7&amp;CHAR(10)&amp;</v>
      </c>
    </row>
    <row r="8" spans="1:2" x14ac:dyDescent="0.4">
      <c r="A8">
        <v>8</v>
      </c>
      <c r="B8" t="str">
        <f t="shared" si="0"/>
        <v>" AND t1."&amp;B8&amp;" = "&amp;"@"&amp;B8&amp;CHAR(10)&amp;</v>
      </c>
    </row>
    <row r="9" spans="1:2" x14ac:dyDescent="0.4">
      <c r="A9">
        <v>9</v>
      </c>
      <c r="B9" t="str">
        <f t="shared" si="0"/>
        <v>" AND t1."&amp;B9&amp;" = "&amp;"@"&amp;B9&amp;CHAR(10)&amp;</v>
      </c>
    </row>
    <row r="10" spans="1:2" x14ac:dyDescent="0.4">
      <c r="A10">
        <v>10</v>
      </c>
      <c r="B10" t="str">
        <f t="shared" si="0"/>
        <v>" AND t1."&amp;B10&amp;" = "&amp;"@"&amp;B10&amp;CHAR(10)&amp;</v>
      </c>
    </row>
    <row r="11" spans="1:2" x14ac:dyDescent="0.4">
      <c r="A11">
        <v>11</v>
      </c>
      <c r="B11" t="str">
        <f t="shared" si="0"/>
        <v>" AND t1."&amp;B11&amp;" = "&amp;"@"&amp;B11&amp;CHAR(10)&amp;</v>
      </c>
    </row>
    <row r="12" spans="1:2" x14ac:dyDescent="0.4">
      <c r="A12">
        <v>12</v>
      </c>
      <c r="B12" t="str">
        <f t="shared" si="0"/>
        <v>" AND t1."&amp;B12&amp;" = "&amp;"@"&amp;B12&amp;CHAR(10)&amp;</v>
      </c>
    </row>
    <row r="13" spans="1:2" x14ac:dyDescent="0.4">
      <c r="A13">
        <v>13</v>
      </c>
      <c r="B13" t="str">
        <f t="shared" si="0"/>
        <v>" AND t1."&amp;B13&amp;" = "&amp;"@"&amp;B13&amp;CHAR(10)&amp;</v>
      </c>
    </row>
    <row r="14" spans="1:2" x14ac:dyDescent="0.4">
      <c r="A14">
        <v>14</v>
      </c>
      <c r="B14" t="str">
        <f t="shared" si="0"/>
        <v>" AND t1."&amp;B14&amp;" = "&amp;"@"&amp;B14&amp;CHAR(10)&amp;</v>
      </c>
    </row>
    <row r="15" spans="1:2" x14ac:dyDescent="0.4">
      <c r="A15">
        <v>15</v>
      </c>
      <c r="B15" t="str">
        <f t="shared" si="0"/>
        <v>" AND t1."&amp;B15&amp;" = "&amp;"@"&amp;B15&amp;CHAR(10)&amp;</v>
      </c>
    </row>
    <row r="16" spans="1:2" x14ac:dyDescent="0.4">
      <c r="A16">
        <v>16</v>
      </c>
      <c r="B16" t="str">
        <f t="shared" si="0"/>
        <v>" AND t1."&amp;B16&amp;" = "&amp;"@"&amp;B16&amp;CHAR(10)&amp;</v>
      </c>
    </row>
    <row r="17" spans="1:2" x14ac:dyDescent="0.4">
      <c r="A17">
        <v>17</v>
      </c>
      <c r="B17" t="str">
        <f t="shared" si="0"/>
        <v>" AND t1."&amp;B17&amp;" = "&amp;"@"&amp;B17&amp;CHAR(10)&amp;</v>
      </c>
    </row>
    <row r="18" spans="1:2" x14ac:dyDescent="0.4">
      <c r="A18">
        <v>18</v>
      </c>
      <c r="B18" t="str">
        <f t="shared" si="0"/>
        <v>" AND t1."&amp;B18&amp;" = "&amp;"@"&amp;B18&amp;CHAR(10)&amp;</v>
      </c>
    </row>
    <row r="19" spans="1:2" x14ac:dyDescent="0.4">
      <c r="A19">
        <v>19</v>
      </c>
      <c r="B19" t="str">
        <f t="shared" si="0"/>
        <v>" AND t1."&amp;B19&amp;" = "&amp;"@"&amp;B19&amp;CHAR(10)&amp;</v>
      </c>
    </row>
    <row r="20" spans="1:2" x14ac:dyDescent="0.4">
      <c r="A20">
        <v>20</v>
      </c>
      <c r="B20" t="str">
        <f t="shared" si="0"/>
        <v>" AND t1."&amp;B20&amp;" = "&amp;"@"&amp;B20&amp;CHAR(10)&amp;</v>
      </c>
    </row>
    <row r="21" spans="1:2" x14ac:dyDescent="0.4">
      <c r="A21">
        <v>21</v>
      </c>
      <c r="B21" t="str">
        <f t="shared" si="0"/>
        <v>" AND t1."&amp;B21&amp;" = "&amp;"@"&amp;B21&amp;CHAR(10)&amp;</v>
      </c>
    </row>
    <row r="22" spans="1:2" x14ac:dyDescent="0.4">
      <c r="A22">
        <v>22</v>
      </c>
      <c r="B22" t="str">
        <f t="shared" si="0"/>
        <v>" AND t1."&amp;B22&amp;" = "&amp;"@"&amp;B22&amp;CHAR(10)&amp;</v>
      </c>
    </row>
    <row r="23" spans="1:2" x14ac:dyDescent="0.4">
      <c r="A23">
        <v>23</v>
      </c>
      <c r="B23" t="str">
        <f t="shared" si="0"/>
        <v>" AND t1."&amp;B23&amp;" = "&amp;"@"&amp;B23&amp;CHAR(10)&amp;</v>
      </c>
    </row>
    <row r="24" spans="1:2" x14ac:dyDescent="0.4">
      <c r="A24">
        <v>24</v>
      </c>
      <c r="B24" t="str">
        <f t="shared" si="0"/>
        <v>" AND t1."&amp;B24&amp;" = "&amp;"@"&amp;B24&amp;CHAR(10)&amp;</v>
      </c>
    </row>
    <row r="25" spans="1:2" x14ac:dyDescent="0.4">
      <c r="A25">
        <v>25</v>
      </c>
      <c r="B25" t="str">
        <f t="shared" si="0"/>
        <v>" AND t1."&amp;B25&amp;" = "&amp;"@"&amp;B25&amp;CHAR(10)&amp;</v>
      </c>
    </row>
    <row r="26" spans="1:2" x14ac:dyDescent="0.4">
      <c r="A26">
        <v>26</v>
      </c>
      <c r="B26" t="str">
        <f t="shared" si="0"/>
        <v>" AND t1."&amp;B26&amp;" = "&amp;"@"&amp;B26&amp;CHAR(10)&amp;</v>
      </c>
    </row>
    <row r="27" spans="1:2" x14ac:dyDescent="0.4">
      <c r="A27">
        <v>27</v>
      </c>
      <c r="B27" t="str">
        <f t="shared" si="0"/>
        <v>" AND t1."&amp;B27&amp;" = "&amp;"@"&amp;B27&amp;CHAR(10)&amp;</v>
      </c>
    </row>
    <row r="28" spans="1:2" x14ac:dyDescent="0.4">
      <c r="A28">
        <v>28</v>
      </c>
      <c r="B28" t="str">
        <f t="shared" si="0"/>
        <v>" AND t1."&amp;B28&amp;" = "&amp;"@"&amp;B28&amp;CHAR(10)&amp;</v>
      </c>
    </row>
    <row r="29" spans="1:2" x14ac:dyDescent="0.4">
      <c r="A29">
        <v>29</v>
      </c>
      <c r="B29" t="str">
        <f t="shared" si="0"/>
        <v>" AND t1."&amp;B29&amp;" = "&amp;"@"&amp;B29&amp;CHAR(10)&amp;</v>
      </c>
    </row>
    <row r="30" spans="1:2" x14ac:dyDescent="0.4">
      <c r="A30">
        <v>30</v>
      </c>
      <c r="B30" t="str">
        <f t="shared" si="0"/>
        <v>" AND t1."&amp;B30&amp;" = "&amp;"@"&amp;B30&amp;CHAR(10)&amp;</v>
      </c>
    </row>
    <row r="31" spans="1:2" x14ac:dyDescent="0.4">
      <c r="A31">
        <v>31</v>
      </c>
      <c r="B31" t="str">
        <f t="shared" si="0"/>
        <v>" AND t1."&amp;B31&amp;" = "&amp;"@"&amp;B31&amp;CHAR(10)&amp;</v>
      </c>
    </row>
    <row r="32" spans="1:2" x14ac:dyDescent="0.4">
      <c r="A32">
        <v>32</v>
      </c>
      <c r="B32" t="str">
        <f t="shared" si="0"/>
        <v>" AND t1."&amp;B32&amp;" = "&amp;"@"&amp;B32&amp;CHAR(10)&amp;</v>
      </c>
    </row>
    <row r="33" spans="1:2" x14ac:dyDescent="0.4">
      <c r="A33">
        <v>33</v>
      </c>
      <c r="B33" t="str">
        <f t="shared" si="0"/>
        <v>" AND t1."&amp;B33&amp;" = "&amp;"@"&amp;B33&amp;CHAR(10)&amp;</v>
      </c>
    </row>
    <row r="34" spans="1:2" x14ac:dyDescent="0.4">
      <c r="A34">
        <v>34</v>
      </c>
      <c r="B34" t="str">
        <f t="shared" si="0"/>
        <v>" AND t1."&amp;B34&amp;" = "&amp;"@"&amp;B34&amp;CHAR(10)&amp;</v>
      </c>
    </row>
    <row r="35" spans="1:2" x14ac:dyDescent="0.4">
      <c r="A35">
        <v>35</v>
      </c>
      <c r="B35" t="str">
        <f t="shared" si="0"/>
        <v>" AND t1."&amp;B35&amp;" = "&amp;"@"&amp;B35&amp;CHAR(10)&amp;</v>
      </c>
    </row>
    <row r="36" spans="1:2" x14ac:dyDescent="0.4">
      <c r="A36">
        <v>36</v>
      </c>
      <c r="B36" t="str">
        <f t="shared" si="0"/>
        <v>" AND t1."&amp;B36&amp;" = "&amp;"@"&amp;B36&amp;CHAR(10)&amp;</v>
      </c>
    </row>
    <row r="37" spans="1:2" x14ac:dyDescent="0.4">
      <c r="A37">
        <v>37</v>
      </c>
      <c r="B37" t="str">
        <f t="shared" si="0"/>
        <v>" AND t1."&amp;B37&amp;" = "&amp;"@"&amp;B37&amp;CHAR(10)&amp;</v>
      </c>
    </row>
    <row r="38" spans="1:2" x14ac:dyDescent="0.4">
      <c r="A38">
        <v>38</v>
      </c>
      <c r="B38" t="str">
        <f t="shared" si="0"/>
        <v>" AND t1."&amp;B38&amp;" = "&amp;"@"&amp;B38&amp;CHAR(10)&amp;</v>
      </c>
    </row>
    <row r="39" spans="1:2" x14ac:dyDescent="0.4">
      <c r="A39">
        <v>39</v>
      </c>
      <c r="B39" t="str">
        <f t="shared" si="0"/>
        <v>" AND t1."&amp;B39&amp;" = "&amp;"@"&amp;B39&amp;CHAR(10)&amp;</v>
      </c>
    </row>
    <row r="40" spans="1:2" x14ac:dyDescent="0.4">
      <c r="A40">
        <v>40</v>
      </c>
      <c r="B40" t="str">
        <f t="shared" si="0"/>
        <v>" AND t1."&amp;B40&amp;" = "&amp;"@"&amp;B40&amp;CHAR(10)&amp;</v>
      </c>
    </row>
    <row r="41" spans="1:2" x14ac:dyDescent="0.4">
      <c r="A41">
        <v>41</v>
      </c>
      <c r="B41" t="str">
        <f t="shared" si="0"/>
        <v>" AND t1."&amp;B41&amp;" = "&amp;"@"&amp;B41&amp;CHAR(10)&amp;</v>
      </c>
    </row>
    <row r="42" spans="1:2" x14ac:dyDescent="0.4">
      <c r="A42">
        <v>42</v>
      </c>
      <c r="B42" t="str">
        <f t="shared" si="0"/>
        <v>" AND t1."&amp;B42&amp;" = "&amp;"@"&amp;B42&amp;CHAR(10)&amp;</v>
      </c>
    </row>
    <row r="43" spans="1:2" x14ac:dyDescent="0.4">
      <c r="A43">
        <v>43</v>
      </c>
      <c r="B43" t="str">
        <f t="shared" si="0"/>
        <v>" AND t1."&amp;B43&amp;" = "&amp;"@"&amp;B43&amp;CHAR(10)&amp;</v>
      </c>
    </row>
    <row r="44" spans="1:2" x14ac:dyDescent="0.4">
      <c r="A44">
        <v>44</v>
      </c>
      <c r="B44" t="str">
        <f t="shared" si="0"/>
        <v>" AND t1."&amp;B44&amp;" = "&amp;"@"&amp;B44&amp;CHAR(10)&amp;</v>
      </c>
    </row>
    <row r="45" spans="1:2" x14ac:dyDescent="0.4">
      <c r="A45">
        <v>45</v>
      </c>
      <c r="B45" t="str">
        <f t="shared" si="0"/>
        <v>" AND t1."&amp;B45&amp;" = "&amp;"@"&amp;B45&amp;CHAR(10)&amp;</v>
      </c>
    </row>
    <row r="46" spans="1:2" x14ac:dyDescent="0.4">
      <c r="A46">
        <v>46</v>
      </c>
      <c r="B46" t="str">
        <f t="shared" si="0"/>
        <v>" AND t1."&amp;B46&amp;" = "&amp;"@"&amp;B46&amp;CHAR(10)&amp;</v>
      </c>
    </row>
    <row r="47" spans="1:2" x14ac:dyDescent="0.4">
      <c r="A47">
        <v>47</v>
      </c>
      <c r="B47" t="str">
        <f t="shared" si="0"/>
        <v>" AND t1."&amp;B47&amp;" = "&amp;"@"&amp;B47&amp;CHAR(10)&amp;</v>
      </c>
    </row>
    <row r="48" spans="1:2" x14ac:dyDescent="0.4">
      <c r="A48">
        <v>48</v>
      </c>
      <c r="B48" t="str">
        <f t="shared" si="0"/>
        <v>" AND t1."&amp;B48&amp;" = "&amp;"@"&amp;B48&amp;CHAR(10)&amp;</v>
      </c>
    </row>
    <row r="49" spans="1:2" x14ac:dyDescent="0.4">
      <c r="A49">
        <v>49</v>
      </c>
      <c r="B49" t="str">
        <f t="shared" si="0"/>
        <v>" AND t1."&amp;B49&amp;" = "&amp;"@"&amp;B49&amp;CHAR(10)&amp;</v>
      </c>
    </row>
    <row r="50" spans="1:2" x14ac:dyDescent="0.4">
      <c r="A50">
        <v>50</v>
      </c>
      <c r="B50" t="str">
        <f t="shared" si="0"/>
        <v>" AND t1."&amp;B50&amp;" = "&amp;"@"&amp;B50&amp;CHAR(10)&amp;</v>
      </c>
    </row>
    <row r="51" spans="1:2" x14ac:dyDescent="0.4">
      <c r="A51">
        <v>51</v>
      </c>
      <c r="B51" t="str">
        <f t="shared" si="0"/>
        <v>" AND t1."&amp;B51&amp;" = "&amp;"@"&amp;B51&amp;CHAR(10)&amp;</v>
      </c>
    </row>
    <row r="52" spans="1:2" x14ac:dyDescent="0.4">
      <c r="A52">
        <v>52</v>
      </c>
      <c r="B52" t="str">
        <f t="shared" si="0"/>
        <v>" AND t1."&amp;B52&amp;" = "&amp;"@"&amp;B52&amp;CHAR(10)&amp;</v>
      </c>
    </row>
    <row r="53" spans="1:2" x14ac:dyDescent="0.4">
      <c r="A53">
        <v>53</v>
      </c>
      <c r="B53" t="str">
        <f t="shared" si="0"/>
        <v>" AND t1."&amp;B53&amp;" = "&amp;"@"&amp;B53&amp;CHAR(10)&amp;</v>
      </c>
    </row>
    <row r="54" spans="1:2" x14ac:dyDescent="0.4">
      <c r="A54">
        <v>54</v>
      </c>
      <c r="B54" t="str">
        <f t="shared" si="0"/>
        <v>" AND t1."&amp;B54&amp;" = "&amp;"@"&amp;B54&amp;CHAR(10)&amp;</v>
      </c>
    </row>
    <row r="55" spans="1:2" x14ac:dyDescent="0.4">
      <c r="A55">
        <v>55</v>
      </c>
      <c r="B55" t="str">
        <f t="shared" si="0"/>
        <v>" AND t1."&amp;B55&amp;" = "&amp;"@"&amp;B55&amp;CHAR(10)&amp;</v>
      </c>
    </row>
    <row r="56" spans="1:2" x14ac:dyDescent="0.4">
      <c r="A56">
        <v>56</v>
      </c>
      <c r="B56" t="str">
        <f t="shared" si="0"/>
        <v>" AND t1."&amp;B56&amp;" = "&amp;"@"&amp;B56&amp;CHAR(10)&amp;</v>
      </c>
    </row>
    <row r="57" spans="1:2" x14ac:dyDescent="0.4">
      <c r="A57">
        <v>57</v>
      </c>
      <c r="B57" t="str">
        <f t="shared" si="0"/>
        <v>" AND t1."&amp;B57&amp;" = "&amp;"@"&amp;B57&amp;CHAR(10)&amp;</v>
      </c>
    </row>
    <row r="58" spans="1:2" x14ac:dyDescent="0.4">
      <c r="A58">
        <v>58</v>
      </c>
      <c r="B58" t="str">
        <f t="shared" si="0"/>
        <v>" AND t1."&amp;B58&amp;" = "&amp;"@"&amp;B58&amp;CHAR(10)&amp;</v>
      </c>
    </row>
    <row r="59" spans="1:2" x14ac:dyDescent="0.4">
      <c r="A59">
        <v>59</v>
      </c>
      <c r="B59" t="str">
        <f t="shared" si="0"/>
        <v>" AND t1."&amp;B59&amp;" = "&amp;"@"&amp;B59&amp;CHAR(10)&amp;</v>
      </c>
    </row>
    <row r="60" spans="1:2" x14ac:dyDescent="0.4">
      <c r="A60">
        <v>60</v>
      </c>
      <c r="B60" t="str">
        <f t="shared" si="0"/>
        <v>" AND t1."&amp;B60&amp;" = "&amp;"@"&amp;B60&amp;CHAR(10)&amp;</v>
      </c>
    </row>
    <row r="61" spans="1:2" x14ac:dyDescent="0.4">
      <c r="A61">
        <v>61</v>
      </c>
      <c r="B61" t="str">
        <f t="shared" si="0"/>
        <v>" AND t1."&amp;B61&amp;" = "&amp;"@"&amp;B61&amp;CHAR(10)&amp;</v>
      </c>
    </row>
    <row r="62" spans="1:2" x14ac:dyDescent="0.4">
      <c r="A62">
        <v>62</v>
      </c>
      <c r="B62" t="str">
        <f t="shared" si="0"/>
        <v>" AND t1."&amp;B62&amp;" = "&amp;"@"&amp;B62&amp;CHAR(10)&amp;</v>
      </c>
    </row>
    <row r="63" spans="1:2" x14ac:dyDescent="0.4">
      <c r="A63">
        <v>63</v>
      </c>
      <c r="B63" t="str">
        <f t="shared" si="0"/>
        <v>" AND t1."&amp;B63&amp;" = "&amp;"@"&amp;B63&amp;CHAR(10)&amp;</v>
      </c>
    </row>
    <row r="64" spans="1:2" x14ac:dyDescent="0.4">
      <c r="A64">
        <v>64</v>
      </c>
      <c r="B64" t="str">
        <f t="shared" si="0"/>
        <v>" AND t1."&amp;B64&amp;" = "&amp;"@"&amp;B64&amp;CHAR(10)&amp;</v>
      </c>
    </row>
    <row r="65" spans="1:2" x14ac:dyDescent="0.4">
      <c r="A65">
        <v>65</v>
      </c>
      <c r="B65" t="str">
        <f t="shared" si="0"/>
        <v>" AND t1."&amp;B65&amp;" = "&amp;"@"&amp;B65&amp;CHAR(10)&amp;</v>
      </c>
    </row>
    <row r="66" spans="1:2" x14ac:dyDescent="0.4">
      <c r="A66">
        <v>66</v>
      </c>
      <c r="B66" t="str">
        <f t="shared" ref="B66:B100" si="1">""""&amp;" AND t1."&amp; """" &amp; "&amp;B" &amp; A66 &amp; "&amp;"&amp;""""&amp;" = "&amp;""""&amp;"&amp;"&amp;""""&amp;"@"&amp;""""&amp;"&amp;B" &amp; A66&amp;"&amp;CHAR(10)"&amp;"&amp;"</f>
        <v>" AND t1."&amp;B66&amp;" = "&amp;"@"&amp;B66&amp;CHAR(10)&amp;</v>
      </c>
    </row>
    <row r="67" spans="1:2" x14ac:dyDescent="0.4">
      <c r="A67">
        <v>67</v>
      </c>
      <c r="B67" t="str">
        <f t="shared" si="1"/>
        <v>" AND t1."&amp;B67&amp;" = "&amp;"@"&amp;B67&amp;CHAR(10)&amp;</v>
      </c>
    </row>
    <row r="68" spans="1:2" x14ac:dyDescent="0.4">
      <c r="A68">
        <v>68</v>
      </c>
      <c r="B68" t="str">
        <f t="shared" si="1"/>
        <v>" AND t1."&amp;B68&amp;" = "&amp;"@"&amp;B68&amp;CHAR(10)&amp;</v>
      </c>
    </row>
    <row r="69" spans="1:2" x14ac:dyDescent="0.4">
      <c r="A69">
        <v>69</v>
      </c>
      <c r="B69" t="str">
        <f t="shared" si="1"/>
        <v>" AND t1."&amp;B69&amp;" = "&amp;"@"&amp;B69&amp;CHAR(10)&amp;</v>
      </c>
    </row>
    <row r="70" spans="1:2" x14ac:dyDescent="0.4">
      <c r="A70">
        <v>70</v>
      </c>
      <c r="B70" t="str">
        <f t="shared" si="1"/>
        <v>" AND t1."&amp;B70&amp;" = "&amp;"@"&amp;B70&amp;CHAR(10)&amp;</v>
      </c>
    </row>
    <row r="71" spans="1:2" x14ac:dyDescent="0.4">
      <c r="A71">
        <v>71</v>
      </c>
      <c r="B71" t="str">
        <f t="shared" si="1"/>
        <v>" AND t1."&amp;B71&amp;" = "&amp;"@"&amp;B71&amp;CHAR(10)&amp;</v>
      </c>
    </row>
    <row r="72" spans="1:2" x14ac:dyDescent="0.4">
      <c r="A72">
        <v>72</v>
      </c>
      <c r="B72" t="str">
        <f t="shared" si="1"/>
        <v>" AND t1."&amp;B72&amp;" = "&amp;"@"&amp;B72&amp;CHAR(10)&amp;</v>
      </c>
    </row>
    <row r="73" spans="1:2" x14ac:dyDescent="0.4">
      <c r="A73">
        <v>73</v>
      </c>
      <c r="B73" t="str">
        <f t="shared" si="1"/>
        <v>" AND t1."&amp;B73&amp;" = "&amp;"@"&amp;B73&amp;CHAR(10)&amp;</v>
      </c>
    </row>
    <row r="74" spans="1:2" x14ac:dyDescent="0.4">
      <c r="A74">
        <v>74</v>
      </c>
      <c r="B74" t="str">
        <f t="shared" si="1"/>
        <v>" AND t1."&amp;B74&amp;" = "&amp;"@"&amp;B74&amp;CHAR(10)&amp;</v>
      </c>
    </row>
    <row r="75" spans="1:2" x14ac:dyDescent="0.4">
      <c r="A75">
        <v>75</v>
      </c>
      <c r="B75" t="str">
        <f t="shared" si="1"/>
        <v>" AND t1."&amp;B75&amp;" = "&amp;"@"&amp;B75&amp;CHAR(10)&amp;</v>
      </c>
    </row>
    <row r="76" spans="1:2" x14ac:dyDescent="0.4">
      <c r="A76">
        <v>76</v>
      </c>
      <c r="B76" t="str">
        <f t="shared" si="1"/>
        <v>" AND t1."&amp;B76&amp;" = "&amp;"@"&amp;B76&amp;CHAR(10)&amp;</v>
      </c>
    </row>
    <row r="77" spans="1:2" x14ac:dyDescent="0.4">
      <c r="A77">
        <v>77</v>
      </c>
      <c r="B77" t="str">
        <f t="shared" si="1"/>
        <v>" AND t1."&amp;B77&amp;" = "&amp;"@"&amp;B77&amp;CHAR(10)&amp;</v>
      </c>
    </row>
    <row r="78" spans="1:2" x14ac:dyDescent="0.4">
      <c r="A78">
        <v>78</v>
      </c>
      <c r="B78" t="str">
        <f t="shared" si="1"/>
        <v>" AND t1."&amp;B78&amp;" = "&amp;"@"&amp;B78&amp;CHAR(10)&amp;</v>
      </c>
    </row>
    <row r="79" spans="1:2" x14ac:dyDescent="0.4">
      <c r="A79">
        <v>79</v>
      </c>
      <c r="B79" t="str">
        <f t="shared" si="1"/>
        <v>" AND t1."&amp;B79&amp;" = "&amp;"@"&amp;B79&amp;CHAR(10)&amp;</v>
      </c>
    </row>
    <row r="80" spans="1:2" x14ac:dyDescent="0.4">
      <c r="A80">
        <v>80</v>
      </c>
      <c r="B80" t="str">
        <f t="shared" si="1"/>
        <v>" AND t1."&amp;B80&amp;" = "&amp;"@"&amp;B80&amp;CHAR(10)&amp;</v>
      </c>
    </row>
    <row r="81" spans="1:2" x14ac:dyDescent="0.4">
      <c r="A81">
        <v>81</v>
      </c>
      <c r="B81" t="str">
        <f t="shared" si="1"/>
        <v>" AND t1."&amp;B81&amp;" = "&amp;"@"&amp;B81&amp;CHAR(10)&amp;</v>
      </c>
    </row>
    <row r="82" spans="1:2" x14ac:dyDescent="0.4">
      <c r="A82">
        <v>82</v>
      </c>
      <c r="B82" t="str">
        <f t="shared" si="1"/>
        <v>" AND t1."&amp;B82&amp;" = "&amp;"@"&amp;B82&amp;CHAR(10)&amp;</v>
      </c>
    </row>
    <row r="83" spans="1:2" x14ac:dyDescent="0.4">
      <c r="A83">
        <v>83</v>
      </c>
      <c r="B83" t="str">
        <f t="shared" si="1"/>
        <v>" AND t1."&amp;B83&amp;" = "&amp;"@"&amp;B83&amp;CHAR(10)&amp;</v>
      </c>
    </row>
    <row r="84" spans="1:2" x14ac:dyDescent="0.4">
      <c r="A84">
        <v>84</v>
      </c>
      <c r="B84" t="str">
        <f t="shared" si="1"/>
        <v>" AND t1."&amp;B84&amp;" = "&amp;"@"&amp;B84&amp;CHAR(10)&amp;</v>
      </c>
    </row>
    <row r="85" spans="1:2" x14ac:dyDescent="0.4">
      <c r="A85">
        <v>85</v>
      </c>
      <c r="B85" t="str">
        <f t="shared" si="1"/>
        <v>" AND t1."&amp;B85&amp;" = "&amp;"@"&amp;B85&amp;CHAR(10)&amp;</v>
      </c>
    </row>
    <row r="86" spans="1:2" x14ac:dyDescent="0.4">
      <c r="A86">
        <v>86</v>
      </c>
      <c r="B86" t="str">
        <f t="shared" si="1"/>
        <v>" AND t1."&amp;B86&amp;" = "&amp;"@"&amp;B86&amp;CHAR(10)&amp;</v>
      </c>
    </row>
    <row r="87" spans="1:2" x14ac:dyDescent="0.4">
      <c r="A87">
        <v>87</v>
      </c>
      <c r="B87" t="str">
        <f t="shared" si="1"/>
        <v>" AND t1."&amp;B87&amp;" = "&amp;"@"&amp;B87&amp;CHAR(10)&amp;</v>
      </c>
    </row>
    <row r="88" spans="1:2" x14ac:dyDescent="0.4">
      <c r="A88">
        <v>88</v>
      </c>
      <c r="B88" t="str">
        <f t="shared" si="1"/>
        <v>" AND t1."&amp;B88&amp;" = "&amp;"@"&amp;B88&amp;CHAR(10)&amp;</v>
      </c>
    </row>
    <row r="89" spans="1:2" x14ac:dyDescent="0.4">
      <c r="A89">
        <v>89</v>
      </c>
      <c r="B89" t="str">
        <f t="shared" si="1"/>
        <v>" AND t1."&amp;B89&amp;" = "&amp;"@"&amp;B89&amp;CHAR(10)&amp;</v>
      </c>
    </row>
    <row r="90" spans="1:2" x14ac:dyDescent="0.4">
      <c r="A90">
        <v>90</v>
      </c>
      <c r="B90" t="str">
        <f t="shared" si="1"/>
        <v>" AND t1."&amp;B90&amp;" = "&amp;"@"&amp;B90&amp;CHAR(10)&amp;</v>
      </c>
    </row>
    <row r="91" spans="1:2" x14ac:dyDescent="0.4">
      <c r="A91">
        <v>91</v>
      </c>
      <c r="B91" t="str">
        <f t="shared" si="1"/>
        <v>" AND t1."&amp;B91&amp;" = "&amp;"@"&amp;B91&amp;CHAR(10)&amp;</v>
      </c>
    </row>
    <row r="92" spans="1:2" x14ac:dyDescent="0.4">
      <c r="A92">
        <v>92</v>
      </c>
      <c r="B92" t="str">
        <f t="shared" si="1"/>
        <v>" AND t1."&amp;B92&amp;" = "&amp;"@"&amp;B92&amp;CHAR(10)&amp;</v>
      </c>
    </row>
    <row r="93" spans="1:2" x14ac:dyDescent="0.4">
      <c r="A93">
        <v>93</v>
      </c>
      <c r="B93" t="str">
        <f t="shared" si="1"/>
        <v>" AND t1."&amp;B93&amp;" = "&amp;"@"&amp;B93&amp;CHAR(10)&amp;</v>
      </c>
    </row>
    <row r="94" spans="1:2" x14ac:dyDescent="0.4">
      <c r="A94">
        <v>94</v>
      </c>
      <c r="B94" t="str">
        <f t="shared" si="1"/>
        <v>" AND t1."&amp;B94&amp;" = "&amp;"@"&amp;B94&amp;CHAR(10)&amp;</v>
      </c>
    </row>
    <row r="95" spans="1:2" x14ac:dyDescent="0.4">
      <c r="A95">
        <v>95</v>
      </c>
      <c r="B95" t="str">
        <f t="shared" si="1"/>
        <v>" AND t1."&amp;B95&amp;" = "&amp;"@"&amp;B95&amp;CHAR(10)&amp;</v>
      </c>
    </row>
    <row r="96" spans="1:2" x14ac:dyDescent="0.4">
      <c r="A96">
        <v>96</v>
      </c>
      <c r="B96" t="str">
        <f t="shared" si="1"/>
        <v>" AND t1."&amp;B96&amp;" = "&amp;"@"&amp;B96&amp;CHAR(10)&amp;</v>
      </c>
    </row>
    <row r="97" spans="1:2" x14ac:dyDescent="0.4">
      <c r="A97">
        <v>97</v>
      </c>
      <c r="B97" t="str">
        <f t="shared" si="1"/>
        <v>" AND t1."&amp;B97&amp;" = "&amp;"@"&amp;B97&amp;CHAR(10)&amp;</v>
      </c>
    </row>
    <row r="98" spans="1:2" x14ac:dyDescent="0.4">
      <c r="A98">
        <v>98</v>
      </c>
      <c r="B98" t="str">
        <f t="shared" si="1"/>
        <v>" AND t1."&amp;B98&amp;" = "&amp;"@"&amp;B98&amp;CHAR(10)&amp;</v>
      </c>
    </row>
    <row r="99" spans="1:2" x14ac:dyDescent="0.4">
      <c r="A99">
        <v>99</v>
      </c>
      <c r="B99" t="str">
        <f t="shared" si="1"/>
        <v>" AND t1."&amp;B99&amp;" = "&amp;"@"&amp;B99&amp;CHAR(10)&amp;</v>
      </c>
    </row>
    <row r="100" spans="1:2" x14ac:dyDescent="0.4">
      <c r="A100">
        <v>100</v>
      </c>
      <c r="B100" t="str">
        <f t="shared" si="1"/>
        <v>" AND t1."&amp;B100&amp;" = "&amp;"@"&amp;B100&amp;CHAR(10)&amp;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C3DD-31E4-4463-B3A4-4179F065E94B}">
  <dimension ref="A1:AF100"/>
  <sheetViews>
    <sheetView tabSelected="1" zoomScaleNormal="100" workbookViewId="0">
      <selection activeCell="B5" sqref="B5"/>
    </sheetView>
  </sheetViews>
  <sheetFormatPr defaultColWidth="11.453125" defaultRowHeight="13.5" x14ac:dyDescent="0.4"/>
  <cols>
    <col min="1" max="1" width="30" style="1" customWidth="1"/>
    <col min="2" max="2" width="11.453125" style="1"/>
    <col min="3" max="3" width="36" style="1" customWidth="1"/>
    <col min="4" max="4" width="11.453125" style="1"/>
    <col min="5" max="5" width="9" style="1" customWidth="1"/>
    <col min="6" max="8" width="11.453125" style="1"/>
    <col min="9" max="9" width="21.08984375" style="1" customWidth="1"/>
    <col min="10" max="13" width="11.453125" style="1"/>
    <col min="14" max="15" width="9.36328125" style="1" customWidth="1"/>
    <col min="16" max="16" width="16" style="1" customWidth="1"/>
    <col min="17" max="17" width="11.453125" style="1"/>
    <col min="18" max="18" width="16.7265625" style="1" customWidth="1"/>
    <col min="19" max="19" width="30.54296875" style="1" customWidth="1"/>
    <col min="20" max="20" width="35.08984375" style="1" customWidth="1"/>
    <col min="21" max="16384" width="11.453125" style="1"/>
  </cols>
  <sheetData>
    <row r="1" spans="1:32" x14ac:dyDescent="0.4">
      <c r="G1" s="1" t="s">
        <v>18</v>
      </c>
    </row>
    <row r="2" spans="1:32" x14ac:dyDescent="0.4">
      <c r="G2" s="1" t="s">
        <v>17</v>
      </c>
      <c r="H2" s="1" t="e">
        <f>" AND t1."&amp;B5&amp;" = "&amp;"@"&amp;B5&amp;CHAR(10)&amp;" AND t1."&amp;B6&amp;" = "&amp;"@"&amp;B6&amp;CHAR(10)&amp;" AND t1."&amp;B7&amp;" = "&amp;"@"&amp;B7&amp;CHAR(10)&amp;" AND t1."&amp;B8&amp;" = "&amp;"@"&amp;B8&amp;CHAR(10)&amp;" AND t1."&amp;B9&amp;" = "&amp;"@"&amp;B9&amp;CHAR(10)&amp;" AND t1."&amp;B10&amp;" = "&amp;"@"&amp;B10&amp;CHAR(10)&amp;" AND t1."&amp;B11&amp;" = "&amp;"@"&amp;B11&amp;CHAR(10)&amp;
" AND t1."&amp;B12&amp;" = "&amp;"@"&amp;B12&amp;CHAR(10)&amp;" AND t1."&amp;B13&amp;" = "&amp;"@"&amp;B13&amp;CHAR(10)&amp;" AND t1."&amp;B14&amp;" = "&amp;"@"&amp;B14&amp;CHAR(10)&amp;" AND t1."&amp;B15&amp;" = "&amp;"@"&amp;B15&amp;CHAR(10)&amp;" AND t1."&amp;B16&amp;" = "&amp;"@"&amp;B16&amp;CHAR(10)&amp;
" AND t1."&amp;B17&amp;" = "&amp;"@"&amp;B17&amp;CHAR(10)&amp;" AND t1."&amp;B18&amp;" = "&amp;"@"&amp;B18&amp;CHAR(10)&amp;" AND t1."&amp;B19&amp;" = "&amp;"@"&amp;B19&amp;CHAR(10)&amp;" AND t1."&amp;B20&amp;" = "&amp;"@"&amp;B20&amp;CHAR(10)&amp;" AND t1."&amp;B21&amp;" = "&amp;"@"&amp;B21&amp;CHAR(10)&amp;
" AND t1."&amp;B22&amp;" = "&amp;"@"&amp;B22&amp;CHAR(10)&amp;" AND t1."&amp;B23&amp;" = "&amp;"@"&amp;B23&amp;CHAR(10)&amp;" AND t1."&amp;B24&amp;" = "&amp;"@"&amp;B24&amp;CHAR(10)&amp;"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t1."&amp;B25&amp;" = "&amp;"@"&amp;B25&amp;CHAR(10)&amp;" AND t1."&amp;B26&amp;" = "&amp;"@"&amp;B26&amp;CHAR(10)&amp;" AND t1."&amp;B27&amp;" = "&amp;"@"&amp;B27&amp;CHAR(10)&amp;
" AND t1."&amp;B28&amp;" = "&amp;"@"&amp;B28&amp;CHAR(10)&amp;" AND t1."&amp;B29&amp;" = "&amp;"@"&amp;B29&amp;CHAR(10)&amp;" AND t1."&amp;B30&amp;" = "&amp;"@"&amp;B30&amp;CHAR(10)&amp;" AND t1."&amp;B31&amp;" = "&amp;"@"&amp;B31&amp;CHAR(10)&amp;" AND t1."&amp;B32&amp;" = "&amp;"@"&amp;B32&amp;CHAR(10)&amp;
" AND t1."&amp;B33&amp;" = "&amp;"@"&amp;B33&amp;CHAR(10)&amp;" AND t1."&amp;B34&amp;" = "&amp;"@"&amp;B34&amp;CHAR(10)&amp;" AND t1."&amp;B35&amp;" = "&amp;"@"&amp;B35&amp;CHAR(10)&amp;" AND t1."&amp;B36&amp;" = "&amp;"@"&amp;B36&amp;CHAR(10)&amp;" AND t1."&amp;B37&amp;" = "&amp;"@"&amp;B37&amp;CHAR(10)&amp;
" AND t1."&amp;B38&amp;" = "&amp;"@"&amp;B38&amp;CHAR(10)&amp;" AND t1."&amp;B39&amp;" = "&amp;"@"&amp;B39&amp;CHAR(10)&amp;" AND t1."&amp;B40&amp;" = "&amp;"@"&amp;B40&amp;CHAR(10)&amp;" AND t1."&amp;B41&amp;" = "&amp;"@"&amp;B41&amp;CHAR(10)&amp;" AND t1."&amp;B42&amp;" = "&amp;"@"&amp;B42&amp;CHAR(10)&amp;
" AND t1."&amp;B43&amp;" = "&amp;"@"&amp;B43&amp;CHAR(10)&amp;" AND t1."&amp;B44&amp;" = "&amp;"@"&amp;B44&amp;CHAR(10)&amp;" AND t1."&amp;B45&amp;" = "&amp;"@"&amp;B45&amp;CHAR(10)&amp;" AND t1."&amp;B46&amp;" = "&amp;"@"&amp;B46&amp;CHAR(10)&amp;" AND t1."&amp;B47&amp;" = "&amp;"@"&amp;B47&amp;CHAR(10)&amp;
" AND t1."&amp;B48&amp;" = "&amp;"@"&amp;B48&amp;CHAR(10)&amp;" AND t1."&amp;B49&amp;" = "&amp;"@"&amp;B49&amp;CHAR(10)&amp;" AND t1."&amp;B50&amp;" = "&amp;"@"&amp;B50&amp;CHAR(10)&amp;" AND t1."&amp;B51&amp;" = "&amp;"@"&amp;B51&amp;CHAR(10)&amp;" AND t1."&amp;B52&amp;" = "&amp;"@"&amp;B52&amp;CHAR(10)</f>
        <v>#REF!</v>
      </c>
    </row>
    <row r="4" spans="1:32" x14ac:dyDescent="0.4">
      <c r="A4" s="2"/>
      <c r="B4" s="2"/>
      <c r="C4" s="2"/>
      <c r="D4" s="2"/>
      <c r="E4" s="2"/>
      <c r="F4" s="2" t="s">
        <v>15</v>
      </c>
      <c r="G4" s="2" t="s">
        <v>23</v>
      </c>
      <c r="H4" s="2" t="s">
        <v>13</v>
      </c>
      <c r="I4" s="2" t="s">
        <v>14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28</v>
      </c>
      <c r="P4" s="2" t="s">
        <v>27</v>
      </c>
      <c r="Q4" s="2" t="s">
        <v>29</v>
      </c>
      <c r="R4" s="2" t="s">
        <v>16</v>
      </c>
      <c r="S4" s="2" t="s">
        <v>22</v>
      </c>
      <c r="T4" s="3" t="s">
        <v>24</v>
      </c>
      <c r="U4" s="3" t="s">
        <v>25</v>
      </c>
      <c r="V4" s="3" t="s">
        <v>26</v>
      </c>
      <c r="W4" s="3"/>
      <c r="X4" s="3"/>
      <c r="Y4" s="3"/>
      <c r="Z4" s="3"/>
      <c r="AA4" s="3"/>
      <c r="AB4" s="2"/>
      <c r="AC4" s="2"/>
      <c r="AD4" s="2"/>
      <c r="AE4" s="2"/>
      <c r="AF4" s="2"/>
    </row>
    <row r="5" spans="1:32" ht="14.5" x14ac:dyDescent="0.4">
      <c r="A5" s="1" t="s">
        <v>119</v>
      </c>
      <c r="B5" s="1" t="s">
        <v>134</v>
      </c>
      <c r="C5" s="1" t="s">
        <v>127</v>
      </c>
      <c r="D5" s="1" t="s">
        <v>5</v>
      </c>
      <c r="E5" s="4">
        <v>10</v>
      </c>
      <c r="F5" s="1" t="str">
        <f>IF(G5&lt;&gt;"",LOWER(LEFT(G5,1))&amp;RIGHT(G5,LEN(G5)-1),"")</f>
        <v>distingCd</v>
      </c>
      <c r="G5" s="1" t="str">
        <f t="shared" ref="G5:G24" si="0">SUBSTITUTE(PROPER(SUBSTITUTE(LOWER(B5),"_"," "))," ","")</f>
        <v>DistingCd</v>
      </c>
      <c r="H5" s="1" t="str">
        <f t="shared" ref="H5:H10" si="1">IF(D5="VARCHAR","string",IF(D5="DECIMAL","decimal?",IF(D5="DATETIME","DateTime?",IF(D5="INT","int","string"))))</f>
        <v>string</v>
      </c>
      <c r="I5" s="1" t="str">
        <f>"///&lt;summary&gt;"&amp;CHAR(10)&amp;"///"&amp;TRIM(C5)&amp;CHAR(10)&amp;"///&lt;/summary&gt;"&amp;CHAR(10)&amp;"public "&amp;H5&amp;" " &amp;TRIM(B5)&amp;" {get; set;}"&amp;CHAR(10)</f>
        <v xml:space="preserve">///&lt;summary&gt;
///考核區分代碼
///&lt;/summary&gt;
public string DISTING_CD {get; set;}
</v>
      </c>
      <c r="J5" s="1" t="str">
        <f t="shared" ref="J5:J24" si="2">" AND t1."&amp;B5&amp;" = "&amp;"@"&amp;B5</f>
        <v xml:space="preserve"> AND t1.DISTING_CD = @DISTING_CD</v>
      </c>
      <c r="K5" s="1" t="str">
        <f>"t1."&amp;B5&amp;","</f>
        <v>t1.DISTING_CD,</v>
      </c>
      <c r="L5" s="1" t="str">
        <f t="shared" ref="L5:L24" si="3">","&amp; B5</f>
        <v>,DISTING_CD</v>
      </c>
      <c r="M5" s="1" t="str">
        <f t="shared" ref="M5:M24" si="4">",@"&amp;B5</f>
        <v>,@DISTING_CD</v>
      </c>
      <c r="N5" s="1" t="str">
        <f t="shared" ref="N5:N24" si="5">B5&amp;" = "&amp;"@"&amp;B5&amp;", "</f>
        <v xml:space="preserve">DISTING_CD = @DISTING_CD, </v>
      </c>
      <c r="O5" s="1" t="str">
        <f>"error += ExcelUtil.CheckValue("&amp; IF(LOWER(D5)="decimal","excelVo."&amp;G5&amp;".ToString() ","excelVo."&amp;G5)  &amp;" , "&amp; """" &amp; TRIM(C5)&amp;""""&amp;", false, (null, null, "&amp;E5&amp;"), ("&amp;IF(LOWER(D5)="decimal","false","true")&amp;", false, "&amp;IF(LOWER(D5)="decimal","true","false")&amp;"), (false, false));"</f>
        <v>error += ExcelUtil.CheckValue(excelVo.DistingCd , "考核區分代碼", false, (null, null, 10), (true, false, false), (false, false));</v>
      </c>
      <c r="P5" s="1" t="str">
        <f>"excelVo."&amp; G5&amp; " = StringUtil.IsNotEmpty(ExcelUtil.GetCell(sheet, i, j).ToString().TrimEnd())? ExcelUtil.GetCell(sheet, i, j).ToString().TrimEnd().ToUpper():"&amp; """" &amp; """" &amp;";j++;" &amp;"//"&amp;C5</f>
        <v>excelVo.DistingCd = StringUtil.IsNotEmpty(ExcelUtil.GetCell(sheet, i, j).ToString().TrimEnd())? ExcelUtil.GetCell(sheet, i, j).ToString().TrimEnd().ToUpper():"";j++;//考核區分代碼</v>
      </c>
      <c r="Q5" s="1" t="str">
        <f>"ExcelUtil.SetContent(sheet, row, column++, (string)item["&amp;""""&amp;F5 &amp;""""&amp;"]);"</f>
        <v>ExcelUtil.SetContent(sheet, row, column++, (string)item["distingCd"]);</v>
      </c>
      <c r="R5" s="1" t="str">
        <f>"ht.Add("&amp; """" &amp;"@"&amp; B5&amp; """" &amp;" , "&amp; B5 &amp;" );//"&amp;D5</f>
        <v>ht.Add("@DISTING_CD" , DISTING_CD );//VARCHAR</v>
      </c>
      <c r="S5" s="1" t="str">
        <f>"paramDt.Add("&amp; """" &amp;"@"&amp; B5&amp; """" &amp;" , master."&amp; G5 &amp;" );//"&amp;C5</f>
        <v>paramDt.Add("@DISTING_CD" , master.DistingCd );//考核區分代碼</v>
      </c>
      <c r="T5" s="1" t="str">
        <f>"{ name: '"&amp;F5&amp;"' , sort: '"&amp;B5&amp;"' },"</f>
        <v>{ name: 'distingCd' , sort: 'DISTING_CD' },</v>
      </c>
      <c r="U5" s="1" t="str">
        <f>""""&amp;F5&amp;""""&amp;":"&amp;""""&amp;TRIM(C5)&amp;""""&amp;","</f>
        <v>"distingCd":"考核區分代碼",</v>
      </c>
      <c r="V5" s="1" t="str">
        <f>IF(LOWER(D5)="decimal","this.vo."&amp;F5&amp;" = "&amp;0,"this.vo."&amp;F5&amp;" = ''")&amp;" ; //"&amp;TRIM(C5)</f>
        <v>this.vo.distingCd = '' ; //考核區分代碼</v>
      </c>
    </row>
    <row r="6" spans="1:32" ht="14.5" x14ac:dyDescent="0.4">
      <c r="A6" s="1" t="s">
        <v>119</v>
      </c>
      <c r="B6" s="1" t="s">
        <v>120</v>
      </c>
      <c r="C6" s="1" t="s">
        <v>128</v>
      </c>
      <c r="D6" s="1" t="s">
        <v>30</v>
      </c>
      <c r="E6" s="5">
        <v>60</v>
      </c>
      <c r="F6" s="1" t="str">
        <f t="shared" ref="F6:F24" si="6">IF(G6&lt;&gt;"",LOWER(LEFT(G6,1))&amp;RIGHT(G6,LEN(G6)-1),"")</f>
        <v>distingDesc</v>
      </c>
      <c r="G6" s="1" t="str">
        <f t="shared" si="0"/>
        <v>DistingDesc</v>
      </c>
      <c r="H6" s="1" t="str">
        <f t="shared" si="1"/>
        <v>string</v>
      </c>
      <c r="I6" s="1" t="str">
        <f t="shared" ref="I6:I69" si="7">"///&lt;summary&gt;"&amp;CHAR(10)&amp;"///"&amp;TRIM(C6)&amp;CHAR(10)&amp;"///&lt;/summary&gt;"&amp;CHAR(10)&amp;"public "&amp;H6&amp;" " &amp;TRIM(B6)&amp;" {get; set;}"&amp;CHAR(10)</f>
        <v xml:space="preserve">///&lt;summary&gt;
///考核區分說明
///&lt;/summary&gt;
public string DISTING_DESC {get; set;}
</v>
      </c>
      <c r="J6" s="1" t="str">
        <f t="shared" si="2"/>
        <v xml:space="preserve"> AND t1.DISTING_DESC = @DISTING_DESC</v>
      </c>
      <c r="K6" s="1" t="str">
        <f t="shared" ref="K6:K56" si="8">"t1."&amp;B6&amp;","</f>
        <v>t1.DISTING_DESC,</v>
      </c>
      <c r="L6" s="1" t="str">
        <f t="shared" si="3"/>
        <v>,DISTING_DESC</v>
      </c>
      <c r="M6" s="1" t="str">
        <f t="shared" si="4"/>
        <v>,@DISTING_DESC</v>
      </c>
      <c r="N6" s="1" t="str">
        <f t="shared" si="5"/>
        <v xml:space="preserve">DISTING_DESC = @DISTING_DESC, </v>
      </c>
      <c r="O6" s="1" t="str">
        <f t="shared" ref="O6:O24" si="9">"error += ExcelUtil.CheckValue("&amp; IF(LOWER(D6)="decimal","excelVo."&amp;G6&amp;".ToString() ","excelVo."&amp;G6)  &amp;" , "&amp; """" &amp; TRIM(C6)&amp;""""&amp;", false, (null, null, "&amp;E6&amp;"), ("&amp;IF(LOWER(D6)="decimal","false","true")&amp;", false, "&amp;IF(LOWER(D6)="decimal","true","false")&amp;"), (false, false));"</f>
        <v>error += ExcelUtil.CheckValue(excelVo.DistingDesc , "考核區分說明", false, (null, null, 60), (true, false, false), (false, false));</v>
      </c>
      <c r="P6" s="1" t="str">
        <f t="shared" ref="P6:P24" si="10">"excelVo."&amp; G6&amp; " = StringUtil.IsNotEmpty(ExcelUtil.GetCell(sheet, i, j).ToString().TrimEnd())? ExcelUtil.GetCell(sheet, i, j).ToString().TrimEnd().ToUpper():"&amp; """" &amp; """" &amp;";j++;" &amp;"//"&amp;C6</f>
        <v>excelVo.DistingDesc = StringUtil.IsNotEmpty(ExcelUtil.GetCell(sheet, i, j).ToString().TrimEnd())? ExcelUtil.GetCell(sheet, i, j).ToString().TrimEnd().ToUpper():"";j++;//考核區分說明</v>
      </c>
      <c r="Q6" s="1" t="str">
        <f t="shared" ref="Q6:Q24" si="11">"ExcelUtil.SetContent(sheet, row, column++, (string)item["&amp;""""&amp;F6 &amp;""""&amp;"]);"</f>
        <v>ExcelUtil.SetContent(sheet, row, column++, (string)item["distingDesc"]);</v>
      </c>
      <c r="R6" s="1" t="str">
        <f t="shared" ref="R6:R46" si="12">"ht.Add("&amp; """" &amp;"@"&amp; B6&amp; """" &amp;" , "&amp; B6 &amp;" );//"&amp;D6</f>
        <v>ht.Add("@DISTING_DESC" , DISTING_DESC );//NVARCHAR</v>
      </c>
      <c r="S6" s="1" t="str">
        <f t="shared" ref="S6:S24" si="13">"paramDt.Add("&amp; """" &amp;"@"&amp; B6&amp; """" &amp;" , master."&amp; G6 &amp;" );//"&amp;C6</f>
        <v>paramDt.Add("@DISTING_DESC" , master.DistingDesc );//考核區分說明</v>
      </c>
      <c r="T6" s="1" t="str">
        <f t="shared" ref="T6:T24" si="14">"{ name: '"&amp;F6&amp;"' , sort: '"&amp;B6&amp;"' },"</f>
        <v>{ name: 'distingDesc' , sort: 'DISTING_DESC' },</v>
      </c>
      <c r="U6" s="1" t="str">
        <f t="shared" ref="U6:U24" si="15">""""&amp;F6&amp;""""&amp;":"&amp;""""&amp;TRIM(C6)&amp;""""&amp;","</f>
        <v>"distingDesc":"考核區分說明",</v>
      </c>
      <c r="V6" s="1" t="str">
        <f t="shared" ref="V6:V24" si="16">IF(LOWER(D6)="decimal","this.vo."&amp;F6&amp;" = "&amp;0,"this.vo."&amp;F6&amp;" = ''")&amp;" ; //"&amp;TRIM(C6)</f>
        <v>this.vo.distingDesc = '' ; //考核區分說明</v>
      </c>
    </row>
    <row r="7" spans="1:32" ht="14.5" x14ac:dyDescent="0.4">
      <c r="A7" s="1" t="s">
        <v>119</v>
      </c>
      <c r="B7" s="1" t="s">
        <v>121</v>
      </c>
      <c r="C7" s="1" t="s">
        <v>129</v>
      </c>
      <c r="D7" s="1" t="s">
        <v>5</v>
      </c>
      <c r="E7" s="5">
        <v>1</v>
      </c>
      <c r="F7" s="1" t="str">
        <f t="shared" si="6"/>
        <v>isOut</v>
      </c>
      <c r="G7" s="1" t="str">
        <f t="shared" si="0"/>
        <v>IsOut</v>
      </c>
      <c r="H7" s="1" t="str">
        <f t="shared" si="1"/>
        <v>string</v>
      </c>
      <c r="I7" s="1" t="str">
        <f t="shared" si="7"/>
        <v xml:space="preserve">///&lt;summary&gt;
///是否為外數區分
///&lt;/summary&gt;
public string IS_OUT {get; set;}
</v>
      </c>
      <c r="J7" s="1" t="str">
        <f t="shared" si="2"/>
        <v xml:space="preserve"> AND t1.IS_OUT = @IS_OUT</v>
      </c>
      <c r="K7" s="1" t="str">
        <f t="shared" si="8"/>
        <v>t1.IS_OUT,</v>
      </c>
      <c r="L7" s="1" t="str">
        <f t="shared" si="3"/>
        <v>,IS_OUT</v>
      </c>
      <c r="M7" s="1" t="str">
        <f t="shared" si="4"/>
        <v>,@IS_OUT</v>
      </c>
      <c r="N7" s="1" t="str">
        <f t="shared" si="5"/>
        <v xml:space="preserve">IS_OUT = @IS_OUT, </v>
      </c>
      <c r="O7" s="1" t="str">
        <f t="shared" si="9"/>
        <v>error += ExcelUtil.CheckValue(excelVo.IsOut , "是否為外數區分", false, (null, null, 1), (true, false, false), (false, false));</v>
      </c>
      <c r="P7" s="1" t="str">
        <f t="shared" si="10"/>
        <v>excelVo.IsOut = StringUtil.IsNotEmpty(ExcelUtil.GetCell(sheet, i, j).ToString().TrimEnd())? ExcelUtil.GetCell(sheet, i, j).ToString().TrimEnd().ToUpper():"";j++;//是否為外數區分</v>
      </c>
      <c r="Q7" s="1" t="str">
        <f t="shared" si="11"/>
        <v>ExcelUtil.SetContent(sheet, row, column++, (string)item["isOut"]);</v>
      </c>
      <c r="R7" s="1" t="str">
        <f t="shared" si="12"/>
        <v>ht.Add("@IS_OUT" , IS_OUT );//VARCHAR</v>
      </c>
      <c r="S7" s="1" t="str">
        <f t="shared" si="13"/>
        <v>paramDt.Add("@IS_OUT" , master.IsOut );//是否為外數區分</v>
      </c>
      <c r="T7" s="1" t="str">
        <f t="shared" si="14"/>
        <v>{ name: 'isOut' , sort: 'IS_OUT' },</v>
      </c>
      <c r="U7" s="1" t="str">
        <f t="shared" si="15"/>
        <v>"isOut":"是否為外數區分",</v>
      </c>
      <c r="V7" s="1" t="str">
        <f t="shared" si="16"/>
        <v>this.vo.isOut = '' ; //是否為外數區分</v>
      </c>
    </row>
    <row r="8" spans="1:32" ht="14.5" x14ac:dyDescent="0.4">
      <c r="A8" s="1" t="s">
        <v>119</v>
      </c>
      <c r="B8" s="1" t="s">
        <v>122</v>
      </c>
      <c r="C8" s="1" t="s">
        <v>130</v>
      </c>
      <c r="D8" s="1" t="s">
        <v>5</v>
      </c>
      <c r="E8" s="5">
        <v>1</v>
      </c>
      <c r="F8" s="1" t="str">
        <f t="shared" si="6"/>
        <v>isRemark</v>
      </c>
      <c r="G8" s="1" t="str">
        <f t="shared" si="0"/>
        <v>IsRemark</v>
      </c>
      <c r="H8" s="1" t="str">
        <f t="shared" si="1"/>
        <v>string</v>
      </c>
      <c r="I8" s="1" t="str">
        <f t="shared" si="7"/>
        <v xml:space="preserve">///&lt;summary&gt;
///備考對象
///&lt;/summary&gt;
public string IS_REMARK {get; set;}
</v>
      </c>
      <c r="J8" s="1" t="str">
        <f t="shared" si="2"/>
        <v xml:space="preserve"> AND t1.IS_REMARK = @IS_REMARK</v>
      </c>
      <c r="K8" s="1" t="str">
        <f t="shared" si="8"/>
        <v>t1.IS_REMARK,</v>
      </c>
      <c r="L8" s="1" t="str">
        <f t="shared" si="3"/>
        <v>,IS_REMARK</v>
      </c>
      <c r="M8" s="1" t="str">
        <f t="shared" si="4"/>
        <v>,@IS_REMARK</v>
      </c>
      <c r="N8" s="1" t="str">
        <f t="shared" si="5"/>
        <v xml:space="preserve">IS_REMARK = @IS_REMARK, </v>
      </c>
      <c r="O8" s="1" t="str">
        <f t="shared" si="9"/>
        <v>error += ExcelUtil.CheckValue(excelVo.IsRemark , "備考對象", false, (null, null, 1), (true, false, false), (false, false));</v>
      </c>
      <c r="P8" s="1" t="str">
        <f t="shared" si="10"/>
        <v>excelVo.IsRemark = StringUtil.IsNotEmpty(ExcelUtil.GetCell(sheet, i, j).ToString().TrimEnd())? ExcelUtil.GetCell(sheet, i, j).ToString().TrimEnd().ToUpper():"";j++;//備考對象</v>
      </c>
      <c r="Q8" s="1" t="str">
        <f t="shared" si="11"/>
        <v>ExcelUtil.SetContent(sheet, row, column++, (string)item["isRemark"]);</v>
      </c>
      <c r="R8" s="1" t="str">
        <f t="shared" si="12"/>
        <v>ht.Add("@IS_REMARK" , IS_REMARK );//VARCHAR</v>
      </c>
      <c r="S8" s="1" t="str">
        <f t="shared" si="13"/>
        <v>paramDt.Add("@IS_REMARK" , master.IsRemark );//備考對象</v>
      </c>
      <c r="T8" s="1" t="str">
        <f t="shared" si="14"/>
        <v>{ name: 'isRemark' , sort: 'IS_REMARK' },</v>
      </c>
      <c r="U8" s="1" t="str">
        <f t="shared" si="15"/>
        <v>"isRemark":"備考對象",</v>
      </c>
      <c r="V8" s="1" t="str">
        <f t="shared" si="16"/>
        <v>this.vo.isRemark = '' ; //備考對象</v>
      </c>
    </row>
    <row r="9" spans="1:32" ht="14.5" x14ac:dyDescent="0.4">
      <c r="A9" s="1" t="s">
        <v>119</v>
      </c>
      <c r="B9" s="1" t="s">
        <v>123</v>
      </c>
      <c r="C9" s="1" t="s">
        <v>131</v>
      </c>
      <c r="D9" s="1" t="s">
        <v>5</v>
      </c>
      <c r="E9" s="5">
        <v>1</v>
      </c>
      <c r="F9" s="1" t="str">
        <f t="shared" si="6"/>
        <v>isValid</v>
      </c>
      <c r="G9" s="1" t="str">
        <f t="shared" si="0"/>
        <v>IsValid</v>
      </c>
      <c r="H9" s="1" t="str">
        <f t="shared" si="1"/>
        <v>string</v>
      </c>
      <c r="I9" s="1" t="str">
        <f t="shared" si="7"/>
        <v xml:space="preserve">///&lt;summary&gt;
///是否生效
///&lt;/summary&gt;
public string IS_VALID {get; set;}
</v>
      </c>
      <c r="J9" s="1" t="str">
        <f t="shared" si="2"/>
        <v xml:space="preserve"> AND t1.IS_VALID = @IS_VALID</v>
      </c>
      <c r="K9" s="1" t="str">
        <f t="shared" si="8"/>
        <v>t1.IS_VALID,</v>
      </c>
      <c r="L9" s="1" t="str">
        <f t="shared" si="3"/>
        <v>,IS_VALID</v>
      </c>
      <c r="M9" s="1" t="str">
        <f t="shared" si="4"/>
        <v>,@IS_VALID</v>
      </c>
      <c r="N9" s="1" t="str">
        <f t="shared" si="5"/>
        <v xml:space="preserve">IS_VALID = @IS_VALID, </v>
      </c>
      <c r="O9" s="1" t="str">
        <f t="shared" si="9"/>
        <v>error += ExcelUtil.CheckValue(excelVo.IsValid , "是否生效", false, (null, null, 1), (true, false, false), (false, false));</v>
      </c>
      <c r="P9" s="1" t="str">
        <f t="shared" si="10"/>
        <v>excelVo.IsValid = StringUtil.IsNotEmpty(ExcelUtil.GetCell(sheet, i, j).ToString().TrimEnd())? ExcelUtil.GetCell(sheet, i, j).ToString().TrimEnd().ToUpper():"";j++;//是否生效</v>
      </c>
      <c r="Q9" s="1" t="str">
        <f t="shared" si="11"/>
        <v>ExcelUtil.SetContent(sheet, row, column++, (string)item["isValid"]);</v>
      </c>
      <c r="R9" s="1" t="str">
        <f t="shared" si="12"/>
        <v>ht.Add("@IS_VALID" , IS_VALID );//VARCHAR</v>
      </c>
      <c r="S9" s="1" t="str">
        <f t="shared" si="13"/>
        <v>paramDt.Add("@IS_VALID" , master.IsValid );//是否生效</v>
      </c>
      <c r="T9" s="1" t="str">
        <f t="shared" si="14"/>
        <v>{ name: 'isValid' , sort: 'IS_VALID' },</v>
      </c>
      <c r="U9" s="1" t="str">
        <f t="shared" si="15"/>
        <v>"isValid":"是否生效",</v>
      </c>
      <c r="V9" s="1" t="str">
        <f t="shared" si="16"/>
        <v>this.vo.isValid = '' ; //是否生效</v>
      </c>
    </row>
    <row r="10" spans="1:32" ht="14.5" x14ac:dyDescent="0.4">
      <c r="A10" s="1" t="s">
        <v>119</v>
      </c>
      <c r="B10" s="1" t="s">
        <v>124</v>
      </c>
      <c r="C10" s="1" t="s">
        <v>132</v>
      </c>
      <c r="D10" s="1" t="s">
        <v>30</v>
      </c>
      <c r="E10" s="5">
        <v>20</v>
      </c>
      <c r="F10" s="1" t="str">
        <f t="shared" si="6"/>
        <v>content</v>
      </c>
      <c r="G10" s="1" t="str">
        <f t="shared" si="0"/>
        <v>Content</v>
      </c>
      <c r="H10" s="1" t="str">
        <f t="shared" si="1"/>
        <v>string</v>
      </c>
      <c r="I10" s="1" t="str">
        <f t="shared" si="7"/>
        <v xml:space="preserve">///&lt;summary&gt;
///備考內容(顯示用)
///&lt;/summary&gt;
public string CONTENT {get; set;}
</v>
      </c>
      <c r="J10" s="1" t="str">
        <f t="shared" si="2"/>
        <v xml:space="preserve"> AND t1.CONTENT = @CONTENT</v>
      </c>
      <c r="K10" s="1" t="str">
        <f t="shared" si="8"/>
        <v>t1.CONTENT,</v>
      </c>
      <c r="L10" s="1" t="str">
        <f t="shared" si="3"/>
        <v>,CONTENT</v>
      </c>
      <c r="M10" s="1" t="str">
        <f t="shared" si="4"/>
        <v>,@CONTENT</v>
      </c>
      <c r="N10" s="1" t="str">
        <f t="shared" si="5"/>
        <v xml:space="preserve">CONTENT = @CONTENT, </v>
      </c>
      <c r="O10" s="1" t="str">
        <f t="shared" si="9"/>
        <v>error += ExcelUtil.CheckValue(excelVo.Content , "備考內容(顯示用)", false, (null, null, 20), (true, false, false), (false, false));</v>
      </c>
      <c r="P10" s="1" t="str">
        <f t="shared" si="10"/>
        <v>excelVo.Content = StringUtil.IsNotEmpty(ExcelUtil.GetCell(sheet, i, j).ToString().TrimEnd())? ExcelUtil.GetCell(sheet, i, j).ToString().TrimEnd().ToUpper():"";j++;//備考內容(顯示用)</v>
      </c>
      <c r="Q10" s="1" t="str">
        <f t="shared" si="11"/>
        <v>ExcelUtil.SetContent(sheet, row, column++, (string)item["content"]);</v>
      </c>
      <c r="R10" s="1" t="str">
        <f t="shared" si="12"/>
        <v>ht.Add("@CONTENT" , CONTENT );//NVARCHAR</v>
      </c>
      <c r="S10" s="1" t="str">
        <f t="shared" si="13"/>
        <v>paramDt.Add("@CONTENT" , master.Content );//備考內容(顯示用)</v>
      </c>
      <c r="T10" s="1" t="str">
        <f t="shared" si="14"/>
        <v>{ name: 'content' , sort: 'CONTENT' },</v>
      </c>
      <c r="U10" s="1" t="str">
        <f t="shared" si="15"/>
        <v>"content":"備考內容(顯示用)",</v>
      </c>
      <c r="V10" s="1" t="str">
        <f t="shared" si="16"/>
        <v>this.vo.content = '' ; //備考內容(顯示用)</v>
      </c>
    </row>
    <row r="11" spans="1:32" ht="14.5" x14ac:dyDescent="0.4">
      <c r="A11" s="1" t="s">
        <v>119</v>
      </c>
      <c r="B11" s="1" t="s">
        <v>125</v>
      </c>
      <c r="C11" s="1" t="s">
        <v>41</v>
      </c>
      <c r="D11" s="1" t="s">
        <v>30</v>
      </c>
      <c r="E11" s="5">
        <v>100</v>
      </c>
      <c r="F11" s="1" t="str">
        <f t="shared" si="6"/>
        <v>remark</v>
      </c>
      <c r="G11" s="1" t="str">
        <f t="shared" si="0"/>
        <v>Remark</v>
      </c>
      <c r="H11" s="1" t="str">
        <f>IF(D11="VARCHAR","string",IF(D11="DECIMAL","decimal?",IF(D11="DATETIME","DateTime?",IF(D11="INT","int","string"))))</f>
        <v>string</v>
      </c>
      <c r="I11" s="1" t="str">
        <f t="shared" si="7"/>
        <v xml:space="preserve">///&lt;summary&gt;
///備註
///&lt;/summary&gt;
public string REMARK {get; set;}
</v>
      </c>
      <c r="J11" s="1" t="str">
        <f t="shared" si="2"/>
        <v xml:space="preserve"> AND t1.REMARK = @REMARK</v>
      </c>
      <c r="K11" s="1" t="str">
        <f t="shared" si="8"/>
        <v>t1.REMARK,</v>
      </c>
      <c r="L11" s="1" t="str">
        <f t="shared" si="3"/>
        <v>,REMARK</v>
      </c>
      <c r="M11" s="1" t="str">
        <f t="shared" si="4"/>
        <v>,@REMARK</v>
      </c>
      <c r="N11" s="1" t="str">
        <f t="shared" si="5"/>
        <v xml:space="preserve">REMARK = @REMARK, </v>
      </c>
      <c r="O11" s="1" t="str">
        <f t="shared" si="9"/>
        <v>error += ExcelUtil.CheckValue(excelVo.Remark , "備註", false, (null, null, 100), (true, false, false), (false, false));</v>
      </c>
      <c r="P11" s="1" t="str">
        <f t="shared" si="10"/>
        <v>excelVo.Remark = StringUtil.IsNotEmpty(ExcelUtil.GetCell(sheet, i, j).ToString().TrimEnd())? ExcelUtil.GetCell(sheet, i, j).ToString().TrimEnd().ToUpper():"";j++;//備註</v>
      </c>
      <c r="Q11" s="1" t="str">
        <f t="shared" si="11"/>
        <v>ExcelUtil.SetContent(sheet, row, column++, (string)item["remark"]);</v>
      </c>
      <c r="R11" s="1" t="str">
        <f t="shared" si="12"/>
        <v>ht.Add("@REMARK" , REMARK );//NVARCHAR</v>
      </c>
      <c r="S11" s="1" t="str">
        <f t="shared" si="13"/>
        <v>paramDt.Add("@REMARK" , master.Remark );//備註</v>
      </c>
      <c r="T11" s="1" t="str">
        <f t="shared" si="14"/>
        <v>{ name: 'remark' , sort: 'REMARK' },</v>
      </c>
      <c r="U11" s="1" t="str">
        <f t="shared" si="15"/>
        <v>"remark":"備註",</v>
      </c>
      <c r="V11" s="1" t="str">
        <f t="shared" si="16"/>
        <v>this.vo.remark = '' ; //備註</v>
      </c>
    </row>
    <row r="12" spans="1:32" ht="14.5" x14ac:dyDescent="0.4">
      <c r="A12" s="1" t="s">
        <v>119</v>
      </c>
      <c r="B12" s="1" t="s">
        <v>126</v>
      </c>
      <c r="C12" s="1" t="s">
        <v>133</v>
      </c>
      <c r="D12" s="1" t="s">
        <v>5</v>
      </c>
      <c r="E12" s="5">
        <v>1</v>
      </c>
      <c r="F12" s="1" t="str">
        <f t="shared" si="6"/>
        <v>userUpYn</v>
      </c>
      <c r="G12" s="1" t="str">
        <f t="shared" si="0"/>
        <v>UserUpYn</v>
      </c>
      <c r="H12" s="1" t="str">
        <f t="shared" ref="H12:H58" si="17">IF(D12="VARCHAR","string",IF(D12="DECIMAL","decimal?",IF(D12="DATETIME","DateTime?",IF(D12="INT","int","string"))))</f>
        <v>string</v>
      </c>
      <c r="I12" s="1" t="str">
        <f t="shared" si="7"/>
        <v xml:space="preserve">///&lt;summary&gt;
///使用者可否修改
///&lt;/summary&gt;
public string USER_UP_YN {get; set;}
</v>
      </c>
      <c r="J12" s="1" t="str">
        <f t="shared" si="2"/>
        <v xml:space="preserve"> AND t1.USER_UP_YN = @USER_UP_YN</v>
      </c>
      <c r="K12" s="1" t="str">
        <f t="shared" si="8"/>
        <v>t1.USER_UP_YN,</v>
      </c>
      <c r="L12" s="1" t="str">
        <f t="shared" si="3"/>
        <v>,USER_UP_YN</v>
      </c>
      <c r="M12" s="1" t="str">
        <f t="shared" si="4"/>
        <v>,@USER_UP_YN</v>
      </c>
      <c r="N12" s="1" t="str">
        <f t="shared" si="5"/>
        <v xml:space="preserve">USER_UP_YN = @USER_UP_YN, </v>
      </c>
      <c r="O12" s="1" t="str">
        <f t="shared" si="9"/>
        <v>error += ExcelUtil.CheckValue(excelVo.UserUpYn , "使用者可否修改", false, (null, null, 1), (true, false, false), (false, false));</v>
      </c>
      <c r="P12" s="1" t="str">
        <f t="shared" si="10"/>
        <v>excelVo.UserUpYn = StringUtil.IsNotEmpty(ExcelUtil.GetCell(sheet, i, j).ToString().TrimEnd())? ExcelUtil.GetCell(sheet, i, j).ToString().TrimEnd().ToUpper():"";j++;//使用者可否修改</v>
      </c>
      <c r="Q12" s="1" t="str">
        <f t="shared" si="11"/>
        <v>ExcelUtil.SetContent(sheet, row, column++, (string)item["userUpYn"]);</v>
      </c>
      <c r="R12" s="1" t="str">
        <f t="shared" si="12"/>
        <v>ht.Add("@USER_UP_YN" , USER_UP_YN );//VARCHAR</v>
      </c>
      <c r="S12" s="1" t="str">
        <f t="shared" si="13"/>
        <v>paramDt.Add("@USER_UP_YN" , master.UserUpYn );//使用者可否修改</v>
      </c>
      <c r="T12" s="1" t="str">
        <f t="shared" si="14"/>
        <v>{ name: 'userUpYn' , sort: 'USER_UP_YN' },</v>
      </c>
      <c r="U12" s="1" t="str">
        <f t="shared" si="15"/>
        <v>"userUpYn":"使用者可否修改",</v>
      </c>
      <c r="V12" s="1" t="str">
        <f t="shared" si="16"/>
        <v>this.vo.userUpYn = '' ; //使用者可否修改</v>
      </c>
    </row>
    <row r="13" spans="1:32" ht="14.5" x14ac:dyDescent="0.4">
      <c r="A13" s="1" t="s">
        <v>119</v>
      </c>
      <c r="B13" s="1" t="s">
        <v>0</v>
      </c>
      <c r="C13" s="1" t="s">
        <v>7</v>
      </c>
      <c r="D13" s="1" t="s">
        <v>5</v>
      </c>
      <c r="E13" s="5">
        <v>20</v>
      </c>
      <c r="F13" s="1" t="str">
        <f t="shared" si="6"/>
        <v>createdBy</v>
      </c>
      <c r="G13" s="1" t="str">
        <f t="shared" si="0"/>
        <v>CreatedBy</v>
      </c>
      <c r="H13" s="1" t="str">
        <f t="shared" si="17"/>
        <v>string</v>
      </c>
      <c r="I13" s="1" t="str">
        <f t="shared" si="7"/>
        <v xml:space="preserve">///&lt;summary&gt;
///新增人員
///&lt;/summary&gt;
public string CREATED_BY {get; set;}
</v>
      </c>
      <c r="J13" s="1" t="str">
        <f t="shared" si="2"/>
        <v xml:space="preserve"> AND t1.CREATED_BY = @CREATED_BY</v>
      </c>
      <c r="K13" s="1" t="str">
        <f t="shared" si="8"/>
        <v>t1.CREATED_BY,</v>
      </c>
      <c r="L13" s="1" t="str">
        <f t="shared" si="3"/>
        <v>,CREATED_BY</v>
      </c>
      <c r="M13" s="1" t="str">
        <f t="shared" si="4"/>
        <v>,@CREATED_BY</v>
      </c>
      <c r="N13" s="1" t="str">
        <f t="shared" si="5"/>
        <v xml:space="preserve">CREATED_BY = @CREATED_BY, </v>
      </c>
      <c r="O13" s="1" t="str">
        <f t="shared" si="9"/>
        <v>error += ExcelUtil.CheckValue(excelVo.CreatedBy , "新增人員", false, (null, null, 20), (true, false, false), (false, false));</v>
      </c>
      <c r="P13" s="1" t="str">
        <f t="shared" si="10"/>
        <v>excelVo.CreatedBy = StringUtil.IsNotEmpty(ExcelUtil.GetCell(sheet, i, j).ToString().TrimEnd())? ExcelUtil.GetCell(sheet, i, j).ToString().TrimEnd().ToUpper():"";j++;//新增人員</v>
      </c>
      <c r="Q13" s="1" t="str">
        <f t="shared" si="11"/>
        <v>ExcelUtil.SetContent(sheet, row, column++, (string)item["createdBy"]);</v>
      </c>
      <c r="R13" s="1" t="str">
        <f t="shared" si="12"/>
        <v>ht.Add("@CREATED_BY" , CREATED_BY );//VARCHAR</v>
      </c>
      <c r="S13" s="1" t="str">
        <f t="shared" si="13"/>
        <v>paramDt.Add("@CREATED_BY" , master.CreatedBy );//新增人員</v>
      </c>
      <c r="T13" s="1" t="str">
        <f t="shared" si="14"/>
        <v>{ name: 'createdBy' , sort: 'CREATED_BY' },</v>
      </c>
      <c r="U13" s="1" t="str">
        <f t="shared" si="15"/>
        <v>"createdBy":"新增人員",</v>
      </c>
      <c r="V13" s="1" t="str">
        <f t="shared" si="16"/>
        <v>this.vo.createdBy = '' ; //新增人員</v>
      </c>
    </row>
    <row r="14" spans="1:32" ht="14.5" x14ac:dyDescent="0.4">
      <c r="A14" s="1" t="s">
        <v>119</v>
      </c>
      <c r="B14" s="1" t="s">
        <v>1</v>
      </c>
      <c r="C14" s="1" t="s">
        <v>8</v>
      </c>
      <c r="D14" s="1" t="s">
        <v>9</v>
      </c>
      <c r="E14" s="5"/>
      <c r="F14" s="1" t="str">
        <f t="shared" si="6"/>
        <v>createdDt</v>
      </c>
      <c r="G14" s="1" t="str">
        <f t="shared" si="0"/>
        <v>CreatedDt</v>
      </c>
      <c r="H14" s="1" t="str">
        <f t="shared" si="17"/>
        <v>DateTime?</v>
      </c>
      <c r="I14" s="1" t="str">
        <f t="shared" si="7"/>
        <v xml:space="preserve">///&lt;summary&gt;
///新增日期時間
///&lt;/summary&gt;
public DateTime? CREATED_DT {get; set;}
</v>
      </c>
      <c r="J14" s="1" t="str">
        <f t="shared" si="2"/>
        <v xml:space="preserve"> AND t1.CREATED_DT = @CREATED_DT</v>
      </c>
      <c r="K14" s="1" t="str">
        <f t="shared" si="8"/>
        <v>t1.CREATED_DT,</v>
      </c>
      <c r="L14" s="1" t="str">
        <f t="shared" si="3"/>
        <v>,CREATED_DT</v>
      </c>
      <c r="M14" s="1" t="str">
        <f t="shared" si="4"/>
        <v>,@CREATED_DT</v>
      </c>
      <c r="N14" s="1" t="str">
        <f t="shared" si="5"/>
        <v xml:space="preserve">CREATED_DT = @CREATED_DT, </v>
      </c>
      <c r="O14" s="1" t="str">
        <f t="shared" si="9"/>
        <v>error += ExcelUtil.CheckValue(excelVo.CreatedDt , "新增日期時間", false, (null, null, ), (true, false, false), (false, false));</v>
      </c>
      <c r="P14" s="1" t="str">
        <f t="shared" si="10"/>
        <v>excelVo.CreatedDt = StringUtil.IsNotEmpty(ExcelUtil.GetCell(sheet, i, j).ToString().TrimEnd())? ExcelUtil.GetCell(sheet, i, j).ToString().TrimEnd().ToUpper():"";j++;//新增日期時間</v>
      </c>
      <c r="Q14" s="1" t="str">
        <f t="shared" si="11"/>
        <v>ExcelUtil.SetContent(sheet, row, column++, (string)item["createdDt"]);</v>
      </c>
      <c r="R14" s="1" t="str">
        <f t="shared" si="12"/>
        <v>ht.Add("@CREATED_DT" , CREATED_DT );//DATETIME</v>
      </c>
      <c r="S14" s="1" t="str">
        <f t="shared" si="13"/>
        <v>paramDt.Add("@CREATED_DT" , master.CreatedDt );//新增日期時間</v>
      </c>
      <c r="T14" s="1" t="str">
        <f t="shared" si="14"/>
        <v>{ name: 'createdDt' , sort: 'CREATED_DT' },</v>
      </c>
      <c r="U14" s="1" t="str">
        <f t="shared" si="15"/>
        <v>"createdDt":"新增日期時間",</v>
      </c>
      <c r="V14" s="1" t="str">
        <f t="shared" si="16"/>
        <v>this.vo.createdDt = '' ; //新增日期時間</v>
      </c>
    </row>
    <row r="15" spans="1:32" ht="14.5" x14ac:dyDescent="0.4">
      <c r="A15" s="1" t="s">
        <v>119</v>
      </c>
      <c r="B15" s="1" t="s">
        <v>2</v>
      </c>
      <c r="C15" s="1" t="s">
        <v>10</v>
      </c>
      <c r="D15" s="1" t="s">
        <v>5</v>
      </c>
      <c r="E15" s="5">
        <v>20</v>
      </c>
      <c r="F15" s="1" t="str">
        <f t="shared" si="6"/>
        <v>updatedBy</v>
      </c>
      <c r="G15" s="1" t="str">
        <f t="shared" si="0"/>
        <v>UpdatedBy</v>
      </c>
      <c r="H15" s="1" t="str">
        <f t="shared" si="17"/>
        <v>string</v>
      </c>
      <c r="I15" s="1" t="str">
        <f t="shared" si="7"/>
        <v xml:space="preserve">///&lt;summary&gt;
///更新人員
///&lt;/summary&gt;
public string UPDATED_BY {get; set;}
</v>
      </c>
      <c r="J15" s="1" t="str">
        <f t="shared" si="2"/>
        <v xml:space="preserve"> AND t1.UPDATED_BY = @UPDATED_BY</v>
      </c>
      <c r="K15" s="1" t="str">
        <f t="shared" si="8"/>
        <v>t1.UPDATED_BY,</v>
      </c>
      <c r="L15" s="1" t="str">
        <f t="shared" si="3"/>
        <v>,UPDATED_BY</v>
      </c>
      <c r="M15" s="1" t="str">
        <f t="shared" si="4"/>
        <v>,@UPDATED_BY</v>
      </c>
      <c r="N15" s="1" t="str">
        <f t="shared" si="5"/>
        <v xml:space="preserve">UPDATED_BY = @UPDATED_BY, </v>
      </c>
      <c r="O15" s="1" t="str">
        <f t="shared" si="9"/>
        <v>error += ExcelUtil.CheckValue(excelVo.UpdatedBy , "更新人員", false, (null, null, 20), (true, false, false), (false, false));</v>
      </c>
      <c r="P15" s="1" t="str">
        <f t="shared" si="10"/>
        <v>excelVo.UpdatedBy = StringUtil.IsNotEmpty(ExcelUtil.GetCell(sheet, i, j).ToString().TrimEnd())? ExcelUtil.GetCell(sheet, i, j).ToString().TrimEnd().ToUpper():"";j++;//更新人員</v>
      </c>
      <c r="Q15" s="1" t="str">
        <f t="shared" si="11"/>
        <v>ExcelUtil.SetContent(sheet, row, column++, (string)item["updatedBy"]);</v>
      </c>
      <c r="R15" s="1" t="str">
        <f t="shared" si="12"/>
        <v>ht.Add("@UPDATED_BY" , UPDATED_BY );//VARCHAR</v>
      </c>
      <c r="S15" s="1" t="str">
        <f t="shared" si="13"/>
        <v>paramDt.Add("@UPDATED_BY" , master.UpdatedBy );//更新人員</v>
      </c>
      <c r="T15" s="1" t="str">
        <f t="shared" si="14"/>
        <v>{ name: 'updatedBy' , sort: 'UPDATED_BY' },</v>
      </c>
      <c r="U15" s="1" t="str">
        <f t="shared" si="15"/>
        <v>"updatedBy":"更新人員",</v>
      </c>
      <c r="V15" s="1" t="str">
        <f t="shared" si="16"/>
        <v>this.vo.updatedBy = '' ; //更新人員</v>
      </c>
    </row>
    <row r="16" spans="1:32" ht="14.5" x14ac:dyDescent="0.4">
      <c r="A16" s="1" t="s">
        <v>119</v>
      </c>
      <c r="B16" s="1" t="s">
        <v>3</v>
      </c>
      <c r="C16" s="1" t="s">
        <v>11</v>
      </c>
      <c r="D16" s="1" t="s">
        <v>9</v>
      </c>
      <c r="E16" s="5"/>
      <c r="F16" s="1" t="str">
        <f t="shared" si="6"/>
        <v>updatedDt</v>
      </c>
      <c r="G16" s="1" t="str">
        <f t="shared" si="0"/>
        <v>UpdatedDt</v>
      </c>
      <c r="H16" s="1" t="str">
        <f t="shared" si="17"/>
        <v>DateTime?</v>
      </c>
      <c r="I16" s="1" t="str">
        <f t="shared" si="7"/>
        <v xml:space="preserve">///&lt;summary&gt;
///更新日期時間
///&lt;/summary&gt;
public DateTime? UPDATED_DT {get; set;}
</v>
      </c>
      <c r="J16" s="1" t="str">
        <f t="shared" si="2"/>
        <v xml:space="preserve"> AND t1.UPDATED_DT = @UPDATED_DT</v>
      </c>
      <c r="K16" s="1" t="str">
        <f t="shared" si="8"/>
        <v>t1.UPDATED_DT,</v>
      </c>
      <c r="L16" s="1" t="str">
        <f t="shared" si="3"/>
        <v>,UPDATED_DT</v>
      </c>
      <c r="M16" s="1" t="str">
        <f t="shared" si="4"/>
        <v>,@UPDATED_DT</v>
      </c>
      <c r="N16" s="1" t="str">
        <f t="shared" si="5"/>
        <v xml:space="preserve">UPDATED_DT = @UPDATED_DT, </v>
      </c>
      <c r="O16" s="1" t="str">
        <f t="shared" si="9"/>
        <v>error += ExcelUtil.CheckValue(excelVo.UpdatedDt , "更新日期時間", false, (null, null, ), (true, false, false), (false, false));</v>
      </c>
      <c r="P16" s="1" t="str">
        <f t="shared" si="10"/>
        <v>excelVo.UpdatedDt = StringUtil.IsNotEmpty(ExcelUtil.GetCell(sheet, i, j).ToString().TrimEnd())? ExcelUtil.GetCell(sheet, i, j).ToString().TrimEnd().ToUpper():"";j++;//更新日期時間</v>
      </c>
      <c r="Q16" s="1" t="str">
        <f t="shared" si="11"/>
        <v>ExcelUtil.SetContent(sheet, row, column++, (string)item["updatedDt"]);</v>
      </c>
      <c r="R16" s="1" t="str">
        <f t="shared" si="12"/>
        <v>ht.Add("@UPDATED_DT" , UPDATED_DT );//DATETIME</v>
      </c>
      <c r="S16" s="1" t="str">
        <f t="shared" si="13"/>
        <v>paramDt.Add("@UPDATED_DT" , master.UpdatedDt );//更新日期時間</v>
      </c>
      <c r="T16" s="1" t="str">
        <f t="shared" si="14"/>
        <v>{ name: 'updatedDt' , sort: 'UPDATED_DT' },</v>
      </c>
      <c r="U16" s="1" t="str">
        <f t="shared" si="15"/>
        <v>"updatedDt":"更新日期時間",</v>
      </c>
      <c r="V16" s="1" t="str">
        <f t="shared" si="16"/>
        <v>this.vo.updatedDt = '' ; //更新日期時間</v>
      </c>
    </row>
    <row r="17" spans="1:22" ht="14.5" x14ac:dyDescent="0.4">
      <c r="A17" s="1" t="s">
        <v>119</v>
      </c>
      <c r="B17" s="1" t="s">
        <v>4</v>
      </c>
      <c r="C17" s="1" t="s">
        <v>12</v>
      </c>
      <c r="E17" s="5">
        <v>4</v>
      </c>
      <c r="F17" s="1" t="str">
        <f t="shared" si="6"/>
        <v>funcId</v>
      </c>
      <c r="G17" s="1" t="str">
        <f t="shared" si="0"/>
        <v>FuncId</v>
      </c>
      <c r="H17" s="1" t="str">
        <f t="shared" si="17"/>
        <v>string</v>
      </c>
      <c r="I17" s="1" t="str">
        <f t="shared" si="7"/>
        <v xml:space="preserve">///&lt;summary&gt;
///更新作業FunctionID
///&lt;/summary&gt;
public string FUNC_ID {get; set;}
</v>
      </c>
      <c r="J17" s="1" t="str">
        <f t="shared" si="2"/>
        <v xml:space="preserve"> AND t1.FUNC_ID = @FUNC_ID</v>
      </c>
      <c r="K17" s="1" t="str">
        <f t="shared" si="8"/>
        <v>t1.FUNC_ID,</v>
      </c>
      <c r="L17" s="1" t="str">
        <f t="shared" si="3"/>
        <v>,FUNC_ID</v>
      </c>
      <c r="M17" s="1" t="str">
        <f t="shared" si="4"/>
        <v>,@FUNC_ID</v>
      </c>
      <c r="N17" s="1" t="str">
        <f t="shared" si="5"/>
        <v xml:space="preserve">FUNC_ID = @FUNC_ID, </v>
      </c>
      <c r="O17" s="1" t="str">
        <f t="shared" si="9"/>
        <v>error += ExcelUtil.CheckValue(excelVo.FuncId , "更新作業FunctionID", false, (null, null, 4), (true, false, false), (false, false));</v>
      </c>
      <c r="P17" s="1" t="str">
        <f t="shared" si="10"/>
        <v>excelVo.FuncId = StringUtil.IsNotEmpty(ExcelUtil.GetCell(sheet, i, j).ToString().TrimEnd())? ExcelUtil.GetCell(sheet, i, j).ToString().TrimEnd().ToUpper():"";j++;//更新作業FunctionID</v>
      </c>
      <c r="Q17" s="1" t="str">
        <f t="shared" si="11"/>
        <v>ExcelUtil.SetContent(sheet, row, column++, (string)item["funcId"]);</v>
      </c>
      <c r="R17" s="1" t="str">
        <f t="shared" si="12"/>
        <v>ht.Add("@FUNC_ID" , FUNC_ID );//</v>
      </c>
      <c r="S17" s="1" t="str">
        <f t="shared" si="13"/>
        <v>paramDt.Add("@FUNC_ID" , master.FuncId );//更新作業FunctionID</v>
      </c>
      <c r="T17" s="1" t="str">
        <f t="shared" si="14"/>
        <v>{ name: 'funcId' , sort: 'FUNC_ID' },</v>
      </c>
      <c r="U17" s="1" t="str">
        <f t="shared" si="15"/>
        <v>"funcId":"更新作業FunctionID",</v>
      </c>
      <c r="V17" s="1" t="str">
        <f t="shared" si="16"/>
        <v>this.vo.funcId = '' ; //更新作業FunctionID</v>
      </c>
    </row>
    <row r="18" spans="1:22" ht="14.5" x14ac:dyDescent="0.4">
      <c r="A18" s="1" t="s">
        <v>119</v>
      </c>
      <c r="E18" s="5">
        <v>4</v>
      </c>
      <c r="F18" s="1" t="str">
        <f t="shared" si="6"/>
        <v/>
      </c>
      <c r="G18" s="1" t="str">
        <f t="shared" si="0"/>
        <v/>
      </c>
      <c r="H18" s="1" t="str">
        <f t="shared" si="17"/>
        <v>string</v>
      </c>
      <c r="I18" s="1" t="str">
        <f t="shared" si="7"/>
        <v xml:space="preserve">///&lt;summary&gt;
///
///&lt;/summary&gt;
public string  {get; set;}
</v>
      </c>
      <c r="J18" s="1" t="str">
        <f t="shared" si="2"/>
        <v xml:space="preserve"> AND t1. = @</v>
      </c>
      <c r="K18" s="1" t="str">
        <f t="shared" si="8"/>
        <v>t1.,</v>
      </c>
      <c r="L18" s="1" t="str">
        <f t="shared" si="3"/>
        <v>,</v>
      </c>
      <c r="M18" s="1" t="str">
        <f t="shared" si="4"/>
        <v>,@</v>
      </c>
      <c r="N18" s="1" t="str">
        <f t="shared" si="5"/>
        <v xml:space="preserve"> = @, </v>
      </c>
      <c r="O18" s="1" t="str">
        <f t="shared" si="9"/>
        <v>error += ExcelUtil.CheckValue(excelVo. , "", false, (null, null, 4), (true, false, false), (false, false));</v>
      </c>
      <c r="P18" s="1" t="str">
        <f t="shared" si="10"/>
        <v>excelVo. = StringUtil.IsNotEmpty(ExcelUtil.GetCell(sheet, i, j).ToString().TrimEnd())? ExcelUtil.GetCell(sheet, i, j).ToString().TrimEnd().ToUpper():"";j++;//</v>
      </c>
      <c r="Q18" s="1" t="str">
        <f t="shared" si="11"/>
        <v>ExcelUtil.SetContent(sheet, row, column++, (string)item[""]);</v>
      </c>
      <c r="R18" s="1" t="str">
        <f t="shared" si="12"/>
        <v>ht.Add("@" ,  );//</v>
      </c>
      <c r="S18" s="1" t="str">
        <f t="shared" si="13"/>
        <v>paramDt.Add("@" , master. );//</v>
      </c>
      <c r="T18" s="1" t="str">
        <f t="shared" si="14"/>
        <v>{ name: '' , sort: '' },</v>
      </c>
      <c r="U18" s="1" t="str">
        <f t="shared" si="15"/>
        <v>"":"",</v>
      </c>
      <c r="V18" s="1" t="str">
        <f t="shared" si="16"/>
        <v>this.vo. = '' ; //</v>
      </c>
    </row>
    <row r="19" spans="1:22" ht="14.5" x14ac:dyDescent="0.4">
      <c r="A19" s="1" t="s">
        <v>119</v>
      </c>
      <c r="E19" s="5">
        <v>4</v>
      </c>
      <c r="F19" s="1" t="str">
        <f t="shared" si="6"/>
        <v/>
      </c>
      <c r="G19" s="1" t="str">
        <f t="shared" si="0"/>
        <v/>
      </c>
      <c r="H19" s="1" t="str">
        <f t="shared" si="17"/>
        <v>string</v>
      </c>
      <c r="I19" s="1" t="str">
        <f t="shared" si="7"/>
        <v xml:space="preserve">///&lt;summary&gt;
///
///&lt;/summary&gt;
public string  {get; set;}
</v>
      </c>
      <c r="J19" s="1" t="str">
        <f t="shared" si="2"/>
        <v xml:space="preserve"> AND t1. = @</v>
      </c>
      <c r="K19" s="1" t="str">
        <f t="shared" si="8"/>
        <v>t1.,</v>
      </c>
      <c r="L19" s="1" t="str">
        <f t="shared" si="3"/>
        <v>,</v>
      </c>
      <c r="M19" s="1" t="str">
        <f t="shared" si="4"/>
        <v>,@</v>
      </c>
      <c r="N19" s="1" t="str">
        <f t="shared" si="5"/>
        <v xml:space="preserve"> = @, </v>
      </c>
      <c r="O19" s="1" t="str">
        <f t="shared" si="9"/>
        <v>error += ExcelUtil.CheckValue(excelVo. , "", false, (null, null, 4), (true, false, false), (false, false));</v>
      </c>
      <c r="P19" s="1" t="str">
        <f t="shared" si="10"/>
        <v>excelVo. = StringUtil.IsNotEmpty(ExcelUtil.GetCell(sheet, i, j).ToString().TrimEnd())? ExcelUtil.GetCell(sheet, i, j).ToString().TrimEnd().ToUpper():"";j++;//</v>
      </c>
      <c r="Q19" s="1" t="str">
        <f t="shared" si="11"/>
        <v>ExcelUtil.SetContent(sheet, row, column++, (string)item[""]);</v>
      </c>
      <c r="R19" s="1" t="str">
        <f t="shared" si="12"/>
        <v>ht.Add("@" ,  );//</v>
      </c>
      <c r="S19" s="1" t="str">
        <f t="shared" si="13"/>
        <v>paramDt.Add("@" , master. );//</v>
      </c>
      <c r="T19" s="1" t="str">
        <f t="shared" si="14"/>
        <v>{ name: '' , sort: '' },</v>
      </c>
      <c r="U19" s="1" t="str">
        <f t="shared" si="15"/>
        <v>"":"",</v>
      </c>
      <c r="V19" s="1" t="str">
        <f t="shared" si="16"/>
        <v>this.vo. = '' ; //</v>
      </c>
    </row>
    <row r="20" spans="1:22" ht="14.5" x14ac:dyDescent="0.4">
      <c r="A20" s="1" t="s">
        <v>119</v>
      </c>
      <c r="E20" s="5">
        <v>20</v>
      </c>
      <c r="F20" s="1" t="str">
        <f t="shared" si="6"/>
        <v/>
      </c>
      <c r="G20" s="1" t="str">
        <f t="shared" si="0"/>
        <v/>
      </c>
      <c r="H20" s="1" t="str">
        <f t="shared" si="17"/>
        <v>string</v>
      </c>
      <c r="I20" s="1" t="str">
        <f t="shared" si="7"/>
        <v xml:space="preserve">///&lt;summary&gt;
///
///&lt;/summary&gt;
public string  {get; set;}
</v>
      </c>
      <c r="J20" s="1" t="str">
        <f t="shared" si="2"/>
        <v xml:space="preserve"> AND t1. = @</v>
      </c>
      <c r="K20" s="1" t="str">
        <f t="shared" si="8"/>
        <v>t1.,</v>
      </c>
      <c r="L20" s="1" t="str">
        <f t="shared" si="3"/>
        <v>,</v>
      </c>
      <c r="M20" s="1" t="str">
        <f t="shared" si="4"/>
        <v>,@</v>
      </c>
      <c r="N20" s="1" t="str">
        <f t="shared" si="5"/>
        <v xml:space="preserve"> = @, </v>
      </c>
      <c r="O20" s="1" t="str">
        <f t="shared" si="9"/>
        <v>error += ExcelUtil.CheckValue(excelVo. , "", false, (null, null, 20), (true, false, false), (false, false));</v>
      </c>
      <c r="P20" s="1" t="str">
        <f t="shared" si="10"/>
        <v>excelVo. = StringUtil.IsNotEmpty(ExcelUtil.GetCell(sheet, i, j).ToString().TrimEnd())? ExcelUtil.GetCell(sheet, i, j).ToString().TrimEnd().ToUpper():"";j++;//</v>
      </c>
      <c r="Q20" s="1" t="str">
        <f t="shared" si="11"/>
        <v>ExcelUtil.SetContent(sheet, row, column++, (string)item[""]);</v>
      </c>
      <c r="R20" s="1" t="str">
        <f t="shared" si="12"/>
        <v>ht.Add("@" ,  );//</v>
      </c>
      <c r="S20" s="1" t="str">
        <f t="shared" si="13"/>
        <v>paramDt.Add("@" , master. );//</v>
      </c>
      <c r="T20" s="1" t="str">
        <f t="shared" si="14"/>
        <v>{ name: '' , sort: '' },</v>
      </c>
      <c r="U20" s="1" t="str">
        <f t="shared" si="15"/>
        <v>"":"",</v>
      </c>
      <c r="V20" s="1" t="str">
        <f t="shared" si="16"/>
        <v>this.vo. = '' ; //</v>
      </c>
    </row>
    <row r="21" spans="1:22" ht="14.5" x14ac:dyDescent="0.4">
      <c r="A21" s="1" t="s">
        <v>119</v>
      </c>
      <c r="E21" s="5">
        <v>8</v>
      </c>
      <c r="F21" s="1" t="str">
        <f t="shared" si="6"/>
        <v/>
      </c>
      <c r="G21" s="1" t="str">
        <f t="shared" si="0"/>
        <v/>
      </c>
      <c r="H21" s="1" t="str">
        <f t="shared" si="17"/>
        <v>string</v>
      </c>
      <c r="I21" s="1" t="str">
        <f t="shared" si="7"/>
        <v xml:space="preserve">///&lt;summary&gt;
///
///&lt;/summary&gt;
public string  {get; set;}
</v>
      </c>
      <c r="J21" s="1" t="str">
        <f t="shared" si="2"/>
        <v xml:space="preserve"> AND t1. = @</v>
      </c>
      <c r="K21" s="1" t="str">
        <f t="shared" si="8"/>
        <v>t1.,</v>
      </c>
      <c r="L21" s="1" t="str">
        <f t="shared" si="3"/>
        <v>,</v>
      </c>
      <c r="M21" s="1" t="str">
        <f t="shared" si="4"/>
        <v>,@</v>
      </c>
      <c r="N21" s="1" t="str">
        <f t="shared" si="5"/>
        <v xml:space="preserve"> = @, </v>
      </c>
      <c r="O21" s="1" t="str">
        <f t="shared" si="9"/>
        <v>error += ExcelUtil.CheckValue(excelVo. , "", false, (null, null, 8), (true, false, false), (false, false));</v>
      </c>
      <c r="P21" s="1" t="str">
        <f t="shared" si="10"/>
        <v>excelVo. = StringUtil.IsNotEmpty(ExcelUtil.GetCell(sheet, i, j).ToString().TrimEnd())? ExcelUtil.GetCell(sheet, i, j).ToString().TrimEnd().ToUpper():"";j++;//</v>
      </c>
      <c r="Q21" s="1" t="str">
        <f t="shared" si="11"/>
        <v>ExcelUtil.SetContent(sheet, row, column++, (string)item[""]);</v>
      </c>
      <c r="R21" s="1" t="str">
        <f t="shared" si="12"/>
        <v>ht.Add("@" ,  );//</v>
      </c>
      <c r="S21" s="1" t="str">
        <f t="shared" si="13"/>
        <v>paramDt.Add("@" , master. );//</v>
      </c>
      <c r="T21" s="1" t="str">
        <f t="shared" si="14"/>
        <v>{ name: '' , sort: '' },</v>
      </c>
      <c r="U21" s="1" t="str">
        <f t="shared" si="15"/>
        <v>"":"",</v>
      </c>
      <c r="V21" s="1" t="str">
        <f t="shared" si="16"/>
        <v>this.vo. = '' ; //</v>
      </c>
    </row>
    <row r="22" spans="1:22" ht="14.5" x14ac:dyDescent="0.4">
      <c r="A22" s="1" t="s">
        <v>119</v>
      </c>
      <c r="E22" s="5">
        <v>8</v>
      </c>
      <c r="F22" s="1" t="str">
        <f t="shared" si="6"/>
        <v/>
      </c>
      <c r="G22" s="1" t="str">
        <f t="shared" si="0"/>
        <v/>
      </c>
      <c r="H22" s="1" t="str">
        <f t="shared" si="17"/>
        <v>string</v>
      </c>
      <c r="I22" s="1" t="str">
        <f t="shared" si="7"/>
        <v xml:space="preserve">///&lt;summary&gt;
///
///&lt;/summary&gt;
public string  {get; set;}
</v>
      </c>
      <c r="J22" s="1" t="str">
        <f t="shared" si="2"/>
        <v xml:space="preserve"> AND t1. = @</v>
      </c>
      <c r="K22" s="1" t="str">
        <f t="shared" si="8"/>
        <v>t1.,</v>
      </c>
      <c r="L22" s="1" t="str">
        <f t="shared" si="3"/>
        <v>,</v>
      </c>
      <c r="M22" s="1" t="str">
        <f t="shared" si="4"/>
        <v>,@</v>
      </c>
      <c r="N22" s="1" t="str">
        <f t="shared" si="5"/>
        <v xml:space="preserve"> = @, </v>
      </c>
      <c r="O22" s="1" t="str">
        <f t="shared" si="9"/>
        <v>error += ExcelUtil.CheckValue(excelVo. , "", false, (null, null, 8), (true, false, false), (false, false));</v>
      </c>
      <c r="P22" s="1" t="str">
        <f t="shared" si="10"/>
        <v>excelVo. = StringUtil.IsNotEmpty(ExcelUtil.GetCell(sheet, i, j).ToString().TrimEnd())? ExcelUtil.GetCell(sheet, i, j).ToString().TrimEnd().ToUpper():"";j++;//</v>
      </c>
      <c r="Q22" s="1" t="str">
        <f t="shared" si="11"/>
        <v>ExcelUtil.SetContent(sheet, row, column++, (string)item[""]);</v>
      </c>
      <c r="R22" s="1" t="str">
        <f t="shared" si="12"/>
        <v>ht.Add("@" ,  );//</v>
      </c>
      <c r="S22" s="1" t="str">
        <f t="shared" si="13"/>
        <v>paramDt.Add("@" , master. );//</v>
      </c>
      <c r="T22" s="1" t="str">
        <f t="shared" si="14"/>
        <v>{ name: '' , sort: '' },</v>
      </c>
      <c r="U22" s="1" t="str">
        <f t="shared" si="15"/>
        <v>"":"",</v>
      </c>
      <c r="V22" s="1" t="str">
        <f t="shared" si="16"/>
        <v>this.vo. = '' ; //</v>
      </c>
    </row>
    <row r="23" spans="1:22" ht="14.5" x14ac:dyDescent="0.4">
      <c r="A23" s="1" t="s">
        <v>119</v>
      </c>
      <c r="E23" s="5">
        <v>50</v>
      </c>
      <c r="F23" s="1" t="str">
        <f t="shared" si="6"/>
        <v/>
      </c>
      <c r="G23" s="1" t="str">
        <f t="shared" si="0"/>
        <v/>
      </c>
      <c r="H23" s="1" t="str">
        <f t="shared" si="17"/>
        <v>string</v>
      </c>
      <c r="I23" s="1" t="str">
        <f t="shared" si="7"/>
        <v xml:space="preserve">///&lt;summary&gt;
///
///&lt;/summary&gt;
public string  {get; set;}
</v>
      </c>
      <c r="J23" s="1" t="str">
        <f t="shared" si="2"/>
        <v xml:space="preserve"> AND t1. = @</v>
      </c>
      <c r="K23" s="1" t="str">
        <f t="shared" si="8"/>
        <v>t1.,</v>
      </c>
      <c r="L23" s="1" t="str">
        <f t="shared" si="3"/>
        <v>,</v>
      </c>
      <c r="M23" s="1" t="str">
        <f t="shared" si="4"/>
        <v>,@</v>
      </c>
      <c r="N23" s="1" t="str">
        <f t="shared" si="5"/>
        <v xml:space="preserve"> = @, </v>
      </c>
      <c r="O23" s="1" t="str">
        <f t="shared" si="9"/>
        <v>error += ExcelUtil.CheckValue(excelVo. , "", false, (null, null, 50), (true, false, false), (false, false));</v>
      </c>
      <c r="P23" s="1" t="str">
        <f t="shared" si="10"/>
        <v>excelVo. = StringUtil.IsNotEmpty(ExcelUtil.GetCell(sheet, i, j).ToString().TrimEnd())? ExcelUtil.GetCell(sheet, i, j).ToString().TrimEnd().ToUpper():"";j++;//</v>
      </c>
      <c r="Q23" s="1" t="str">
        <f t="shared" si="11"/>
        <v>ExcelUtil.SetContent(sheet, row, column++, (string)item[""]);</v>
      </c>
      <c r="R23" s="1" t="str">
        <f t="shared" si="12"/>
        <v>ht.Add("@" ,  );//</v>
      </c>
      <c r="S23" s="1" t="str">
        <f t="shared" si="13"/>
        <v>paramDt.Add("@" , master. );//</v>
      </c>
      <c r="T23" s="1" t="str">
        <f t="shared" si="14"/>
        <v>{ name: '' , sort: '' },</v>
      </c>
      <c r="U23" s="1" t="str">
        <f t="shared" si="15"/>
        <v>"":"",</v>
      </c>
      <c r="V23" s="1" t="str">
        <f t="shared" si="16"/>
        <v>this.vo. = '' ; //</v>
      </c>
    </row>
    <row r="24" spans="1:22" ht="14.5" x14ac:dyDescent="0.4">
      <c r="A24" s="1" t="s">
        <v>119</v>
      </c>
      <c r="E24" s="5">
        <v>20</v>
      </c>
      <c r="F24" s="1" t="str">
        <f t="shared" si="6"/>
        <v/>
      </c>
      <c r="G24" s="1" t="str">
        <f t="shared" si="0"/>
        <v/>
      </c>
      <c r="H24" s="1" t="str">
        <f t="shared" si="17"/>
        <v>string</v>
      </c>
      <c r="I24" s="1" t="str">
        <f t="shared" si="7"/>
        <v xml:space="preserve">///&lt;summary&gt;
///
///&lt;/summary&gt;
public string  {get; set;}
</v>
      </c>
      <c r="J24" s="1" t="str">
        <f t="shared" si="2"/>
        <v xml:space="preserve"> AND t1. = @</v>
      </c>
      <c r="K24" s="1" t="str">
        <f t="shared" si="8"/>
        <v>t1.,</v>
      </c>
      <c r="L24" s="1" t="str">
        <f t="shared" si="3"/>
        <v>,</v>
      </c>
      <c r="M24" s="1" t="str">
        <f t="shared" si="4"/>
        <v>,@</v>
      </c>
      <c r="N24" s="1" t="str">
        <f t="shared" si="5"/>
        <v xml:space="preserve"> = @, </v>
      </c>
      <c r="O24" s="1" t="str">
        <f t="shared" si="9"/>
        <v>error += ExcelUtil.CheckValue(excelVo. , "", false, (null, null, 20), (true, false, false), (false, false));</v>
      </c>
      <c r="P24" s="1" t="str">
        <f t="shared" si="10"/>
        <v>excelVo. = StringUtil.IsNotEmpty(ExcelUtil.GetCell(sheet, i, j).ToString().TrimEnd())? ExcelUtil.GetCell(sheet, i, j).ToString().TrimEnd().ToUpper():"";j++;//</v>
      </c>
      <c r="Q24" s="1" t="str">
        <f t="shared" si="11"/>
        <v>ExcelUtil.SetContent(sheet, row, column++, (string)item[""]);</v>
      </c>
      <c r="R24" s="1" t="str">
        <f t="shared" si="12"/>
        <v>ht.Add("@" ,  );//</v>
      </c>
      <c r="S24" s="1" t="str">
        <f t="shared" si="13"/>
        <v>paramDt.Add("@" , master. );//</v>
      </c>
      <c r="T24" s="1" t="str">
        <f t="shared" si="14"/>
        <v>{ name: '' , sort: '' },</v>
      </c>
      <c r="U24" s="1" t="str">
        <f t="shared" si="15"/>
        <v>"":"",</v>
      </c>
      <c r="V24" s="1" t="str">
        <f t="shared" si="16"/>
        <v>this.vo. = '' ; //</v>
      </c>
    </row>
    <row r="25" spans="1:22" ht="14.5" x14ac:dyDescent="0.4">
      <c r="A25" s="1" t="s">
        <v>119</v>
      </c>
      <c r="E25" s="5"/>
      <c r="F25" s="1" t="str">
        <f t="shared" ref="F25:F29" si="18">IF(G25&lt;&gt;"",LOWER(LEFT(G25,1))&amp;RIGHT(G25,LEN(G25)-1),"")</f>
        <v/>
      </c>
      <c r="G25" s="1" t="str">
        <f t="shared" ref="G25:G29" si="19">SUBSTITUTE(PROPER(SUBSTITUTE(LOWER(B25),"_"," "))," ","")</f>
        <v/>
      </c>
      <c r="H25" s="1" t="str">
        <f t="shared" si="17"/>
        <v>string</v>
      </c>
      <c r="I25" s="1" t="str">
        <f t="shared" si="7"/>
        <v xml:space="preserve">///&lt;summary&gt;
///
///&lt;/summary&gt;
public string  {get; set;}
</v>
      </c>
      <c r="J25" s="1" t="str">
        <f t="shared" ref="J25:J84" si="20">" AND t1."&amp;B25&amp;" = "&amp;"@"&amp;B25</f>
        <v xml:space="preserve"> AND t1. = @</v>
      </c>
      <c r="K25" s="1" t="str">
        <f t="shared" si="8"/>
        <v>t1.,</v>
      </c>
      <c r="L25" s="1" t="str">
        <f t="shared" ref="L25:L84" si="21">","&amp; B25</f>
        <v>,</v>
      </c>
      <c r="M25" s="1" t="str">
        <f t="shared" ref="M25:M84" si="22">",@"&amp;B25</f>
        <v>,@</v>
      </c>
      <c r="N25" s="1" t="str">
        <f t="shared" ref="N25:N84" si="23">B25&amp;" = "&amp;"@"&amp;B25&amp;", "</f>
        <v xml:space="preserve"> = @, </v>
      </c>
      <c r="O25" s="1" t="str">
        <f t="shared" ref="O25:O85" si="24">"error += ExcelUtil.CheckValue("&amp; IF(LOWER(D25)="decimal","excelVo."&amp;G25&amp;".ToString() ","excelVo."&amp;G25)  &amp;" , "&amp; """" &amp; TRIM(C25)&amp;""""&amp;", false, (null, null, "&amp;E25&amp;"), ("&amp;IF(LOWER(D25)="decimal","false","true")&amp;", false, "&amp;IF(LOWER(D25)="decimal","true","false")&amp;"), (false, false));"</f>
        <v>error += ExcelUtil.CheckValue(excelVo. , "", false, (null, null, ), (true, false, false), (false, false));</v>
      </c>
      <c r="P25" s="1" t="str">
        <f t="shared" ref="P25:P85" si="25">"excelVo."&amp; G25&amp; " = StringUtil.IsNotEmpty(ExcelUtil.GetCell(sheet, i, j).ToString().TrimEnd())? ExcelUtil.GetCell(sheet, i, j).ToString().TrimEnd().ToUpper():"&amp; """" &amp; """" &amp;";j++;" &amp;"//"&amp;C25</f>
        <v>excelVo. = StringUtil.IsNotEmpty(ExcelUtil.GetCell(sheet, i, j).ToString().TrimEnd())? ExcelUtil.GetCell(sheet, i, j).ToString().TrimEnd().ToUpper():"";j++;//</v>
      </c>
      <c r="Q25" s="1" t="str">
        <f t="shared" ref="Q25:Q85" si="26">"ExcelUtil.SetContent(sheet, row, column++, (string)item["&amp;""""&amp;F25 &amp;""""&amp;"]);"</f>
        <v>ExcelUtil.SetContent(sheet, row, column++, (string)item[""]);</v>
      </c>
      <c r="R25" s="1" t="str">
        <f t="shared" si="12"/>
        <v>ht.Add("@" ,  );//</v>
      </c>
      <c r="S25" s="1" t="str">
        <f t="shared" ref="S25:S85" si="27">"paramDt.Add("&amp; """" &amp;"@"&amp; B25&amp; """" &amp;" , master."&amp; G25 &amp;" );//"&amp;C25</f>
        <v>paramDt.Add("@" , master. );//</v>
      </c>
      <c r="T25" s="1" t="str">
        <f t="shared" ref="T25:T29" si="28">"{ name: '"&amp;F25&amp;"' , sort: '"&amp;B25&amp;"' },"</f>
        <v>{ name: '' , sort: '' },</v>
      </c>
      <c r="U25" s="1" t="str">
        <f t="shared" ref="U25:U85" si="29">""""&amp;F25&amp;""""&amp;":"&amp;""""&amp;TRIM(C25)&amp;""""&amp;","</f>
        <v>"":"",</v>
      </c>
      <c r="V25" s="1" t="str">
        <f t="shared" ref="V25:V85" si="30">IF(LOWER(D25)="decimal","this.vo."&amp;F25&amp;" = "&amp;0,"this.vo."&amp;F25&amp;" = ''")&amp;" ; //"&amp;TRIM(C25)</f>
        <v>this.vo. = '' ; //</v>
      </c>
    </row>
    <row r="26" spans="1:22" ht="14.5" x14ac:dyDescent="0.4">
      <c r="A26" s="1" t="s">
        <v>119</v>
      </c>
      <c r="E26" s="5">
        <v>20</v>
      </c>
      <c r="F26" s="1" t="str">
        <f t="shared" si="18"/>
        <v/>
      </c>
      <c r="G26" s="1" t="str">
        <f t="shared" si="19"/>
        <v/>
      </c>
      <c r="H26" s="1" t="str">
        <f t="shared" si="17"/>
        <v>string</v>
      </c>
      <c r="I26" s="1" t="str">
        <f t="shared" si="7"/>
        <v xml:space="preserve">///&lt;summary&gt;
///
///&lt;/summary&gt;
public string  {get; set;}
</v>
      </c>
      <c r="J26" s="1" t="str">
        <f t="shared" si="20"/>
        <v xml:space="preserve"> AND t1. = @</v>
      </c>
      <c r="K26" s="1" t="str">
        <f t="shared" si="8"/>
        <v>t1.,</v>
      </c>
      <c r="L26" s="1" t="str">
        <f t="shared" si="21"/>
        <v>,</v>
      </c>
      <c r="M26" s="1" t="str">
        <f t="shared" si="22"/>
        <v>,@</v>
      </c>
      <c r="N26" s="1" t="str">
        <f t="shared" si="23"/>
        <v xml:space="preserve"> = @, </v>
      </c>
      <c r="O26" s="1" t="str">
        <f t="shared" si="24"/>
        <v>error += ExcelUtil.CheckValue(excelVo. , "", false, (null, null, 20), (true, false, false), (false, false));</v>
      </c>
      <c r="P26" s="1" t="str">
        <f t="shared" si="25"/>
        <v>excelVo. = StringUtil.IsNotEmpty(ExcelUtil.GetCell(sheet, i, j).ToString().TrimEnd())? ExcelUtil.GetCell(sheet, i, j).ToString().TrimEnd().ToUpper():"";j++;//</v>
      </c>
      <c r="Q26" s="1" t="str">
        <f t="shared" si="26"/>
        <v>ExcelUtil.SetContent(sheet, row, column++, (string)item[""]);</v>
      </c>
      <c r="R26" s="1" t="str">
        <f t="shared" si="12"/>
        <v>ht.Add("@" ,  );//</v>
      </c>
      <c r="S26" s="1" t="str">
        <f t="shared" si="27"/>
        <v>paramDt.Add("@" , master. );//</v>
      </c>
      <c r="T26" s="1" t="str">
        <f t="shared" si="28"/>
        <v>{ name: '' , sort: '' },</v>
      </c>
      <c r="U26" s="1" t="str">
        <f t="shared" si="29"/>
        <v>"":"",</v>
      </c>
      <c r="V26" s="1" t="str">
        <f t="shared" si="30"/>
        <v>this.vo. = '' ; //</v>
      </c>
    </row>
    <row r="27" spans="1:22" ht="14.5" x14ac:dyDescent="0.4">
      <c r="A27" s="1" t="s">
        <v>119</v>
      </c>
      <c r="E27" s="5"/>
      <c r="F27" s="1" t="str">
        <f t="shared" si="18"/>
        <v/>
      </c>
      <c r="G27" s="1" t="str">
        <f t="shared" si="19"/>
        <v/>
      </c>
      <c r="H27" s="1" t="str">
        <f t="shared" si="17"/>
        <v>string</v>
      </c>
      <c r="I27" s="1" t="str">
        <f t="shared" si="7"/>
        <v xml:space="preserve">///&lt;summary&gt;
///
///&lt;/summary&gt;
public string  {get; set;}
</v>
      </c>
      <c r="J27" s="1" t="str">
        <f t="shared" si="20"/>
        <v xml:space="preserve"> AND t1. = @</v>
      </c>
      <c r="K27" s="1" t="str">
        <f t="shared" si="8"/>
        <v>t1.,</v>
      </c>
      <c r="L27" s="1" t="str">
        <f t="shared" si="21"/>
        <v>,</v>
      </c>
      <c r="M27" s="1" t="str">
        <f t="shared" si="22"/>
        <v>,@</v>
      </c>
      <c r="N27" s="1" t="str">
        <f t="shared" si="23"/>
        <v xml:space="preserve"> = @, </v>
      </c>
      <c r="O27" s="1" t="str">
        <f t="shared" si="24"/>
        <v>error += ExcelUtil.CheckValue(excelVo. , "", false, (null, null, ), (true, false, false), (false, false));</v>
      </c>
      <c r="P27" s="1" t="str">
        <f t="shared" si="25"/>
        <v>excelVo. = StringUtil.IsNotEmpty(ExcelUtil.GetCell(sheet, i, j).ToString().TrimEnd())? ExcelUtil.GetCell(sheet, i, j).ToString().TrimEnd().ToUpper():"";j++;//</v>
      </c>
      <c r="Q27" s="1" t="str">
        <f t="shared" si="26"/>
        <v>ExcelUtil.SetContent(sheet, row, column++, (string)item[""]);</v>
      </c>
      <c r="R27" s="1" t="str">
        <f t="shared" si="12"/>
        <v>ht.Add("@" ,  );//</v>
      </c>
      <c r="S27" s="1" t="str">
        <f t="shared" si="27"/>
        <v>paramDt.Add("@" , master. );//</v>
      </c>
      <c r="T27" s="1" t="str">
        <f t="shared" si="28"/>
        <v>{ name: '' , sort: '' },</v>
      </c>
      <c r="U27" s="1" t="str">
        <f t="shared" si="29"/>
        <v>"":"",</v>
      </c>
      <c r="V27" s="1" t="str">
        <f t="shared" si="30"/>
        <v>this.vo. = '' ; //</v>
      </c>
    </row>
    <row r="28" spans="1:22" ht="14.5" x14ac:dyDescent="0.4">
      <c r="A28" s="1" t="s">
        <v>119</v>
      </c>
      <c r="E28" s="5">
        <v>30</v>
      </c>
      <c r="F28" s="1" t="str">
        <f t="shared" si="18"/>
        <v/>
      </c>
      <c r="G28" s="1" t="str">
        <f t="shared" si="19"/>
        <v/>
      </c>
      <c r="H28" s="1" t="str">
        <f t="shared" si="17"/>
        <v>string</v>
      </c>
      <c r="I28" s="1" t="str">
        <f t="shared" si="7"/>
        <v xml:space="preserve">///&lt;summary&gt;
///
///&lt;/summary&gt;
public string  {get; set;}
</v>
      </c>
      <c r="J28" s="1" t="str">
        <f t="shared" si="20"/>
        <v xml:space="preserve"> AND t1. = @</v>
      </c>
      <c r="K28" s="1" t="str">
        <f t="shared" si="8"/>
        <v>t1.,</v>
      </c>
      <c r="L28" s="1" t="str">
        <f t="shared" si="21"/>
        <v>,</v>
      </c>
      <c r="M28" s="1" t="str">
        <f t="shared" si="22"/>
        <v>,@</v>
      </c>
      <c r="N28" s="1" t="str">
        <f t="shared" si="23"/>
        <v xml:space="preserve"> = @, </v>
      </c>
      <c r="O28" s="1" t="str">
        <f t="shared" si="24"/>
        <v>error += ExcelUtil.CheckValue(excelVo. , "", false, (null, null, 30), (true, false, false), (false, false));</v>
      </c>
      <c r="P28" s="1" t="str">
        <f t="shared" si="25"/>
        <v>excelVo. = StringUtil.IsNotEmpty(ExcelUtil.GetCell(sheet, i, j).ToString().TrimEnd())? ExcelUtil.GetCell(sheet, i, j).ToString().TrimEnd().ToUpper():"";j++;//</v>
      </c>
      <c r="Q28" s="1" t="str">
        <f t="shared" si="26"/>
        <v>ExcelUtil.SetContent(sheet, row, column++, (string)item[""]);</v>
      </c>
      <c r="R28" s="1" t="str">
        <f t="shared" si="12"/>
        <v>ht.Add("@" ,  );//</v>
      </c>
      <c r="S28" s="1" t="str">
        <f t="shared" si="27"/>
        <v>paramDt.Add("@" , master. );//</v>
      </c>
      <c r="T28" s="1" t="str">
        <f t="shared" si="28"/>
        <v>{ name: '' , sort: '' },</v>
      </c>
      <c r="U28" s="1" t="str">
        <f t="shared" si="29"/>
        <v>"":"",</v>
      </c>
      <c r="V28" s="1" t="str">
        <f t="shared" si="30"/>
        <v>this.vo. = '' ; //</v>
      </c>
    </row>
    <row r="29" spans="1:22" ht="14.5" x14ac:dyDescent="0.4">
      <c r="A29" s="1" t="s">
        <v>119</v>
      </c>
      <c r="E29" s="5">
        <v>30</v>
      </c>
      <c r="F29" s="1" t="str">
        <f t="shared" si="18"/>
        <v/>
      </c>
      <c r="G29" s="1" t="str">
        <f t="shared" si="19"/>
        <v/>
      </c>
      <c r="H29" s="1" t="str">
        <f t="shared" si="17"/>
        <v>string</v>
      </c>
      <c r="I29" s="1" t="str">
        <f t="shared" si="7"/>
        <v xml:space="preserve">///&lt;summary&gt;
///
///&lt;/summary&gt;
public string  {get; set;}
</v>
      </c>
      <c r="J29" s="1" t="str">
        <f t="shared" si="20"/>
        <v xml:space="preserve"> AND t1. = @</v>
      </c>
      <c r="K29" s="1" t="str">
        <f t="shared" si="8"/>
        <v>t1.,</v>
      </c>
      <c r="L29" s="1" t="str">
        <f t="shared" si="21"/>
        <v>,</v>
      </c>
      <c r="M29" s="1" t="str">
        <f t="shared" si="22"/>
        <v>,@</v>
      </c>
      <c r="N29" s="1" t="str">
        <f t="shared" si="23"/>
        <v xml:space="preserve"> = @, </v>
      </c>
      <c r="O29" s="1" t="str">
        <f t="shared" si="24"/>
        <v>error += ExcelUtil.CheckValue(excelVo. , "", false, (null, null, 30), (true, false, false), (false, false));</v>
      </c>
      <c r="P29" s="1" t="str">
        <f t="shared" si="25"/>
        <v>excelVo. = StringUtil.IsNotEmpty(ExcelUtil.GetCell(sheet, i, j).ToString().TrimEnd())? ExcelUtil.GetCell(sheet, i, j).ToString().TrimEnd().ToUpper():"";j++;//</v>
      </c>
      <c r="Q29" s="1" t="str">
        <f t="shared" si="26"/>
        <v>ExcelUtil.SetContent(sheet, row, column++, (string)item[""]);</v>
      </c>
      <c r="R29" s="1" t="str">
        <f t="shared" si="12"/>
        <v>ht.Add("@" ,  );//</v>
      </c>
      <c r="S29" s="1" t="str">
        <f t="shared" si="27"/>
        <v>paramDt.Add("@" , master. );//</v>
      </c>
      <c r="T29" s="1" t="str">
        <f t="shared" si="28"/>
        <v>{ name: '' , sort: '' },</v>
      </c>
      <c r="U29" s="1" t="str">
        <f t="shared" si="29"/>
        <v>"":"",</v>
      </c>
      <c r="V29" s="1" t="str">
        <f t="shared" si="30"/>
        <v>this.vo. = '' ; //</v>
      </c>
    </row>
    <row r="30" spans="1:22" x14ac:dyDescent="0.4">
      <c r="A30" s="1" t="s">
        <v>119</v>
      </c>
      <c r="H30" s="1" t="str">
        <f t="shared" si="17"/>
        <v>string</v>
      </c>
      <c r="I30" s="1" t="str">
        <f t="shared" si="7"/>
        <v xml:space="preserve">///&lt;summary&gt;
///
///&lt;/summary&gt;
public string  {get; set;}
</v>
      </c>
      <c r="J30" s="1" t="str">
        <f t="shared" si="20"/>
        <v xml:space="preserve"> AND t1. = @</v>
      </c>
      <c r="K30" s="1" t="str">
        <f t="shared" si="8"/>
        <v>t1.,</v>
      </c>
      <c r="L30" s="1" t="str">
        <f t="shared" si="21"/>
        <v>,</v>
      </c>
      <c r="M30" s="1" t="str">
        <f t="shared" si="22"/>
        <v>,@</v>
      </c>
      <c r="N30" s="1" t="str">
        <f t="shared" si="23"/>
        <v xml:space="preserve"> = @, </v>
      </c>
      <c r="O30" s="1" t="str">
        <f t="shared" si="24"/>
        <v>error += ExcelUtil.CheckValue(excelVo. , "", false, (null, null, ), (true, false, false), (false, false));</v>
      </c>
      <c r="P30" s="1" t="str">
        <f t="shared" si="25"/>
        <v>excelVo. = StringUtil.IsNotEmpty(ExcelUtil.GetCell(sheet, i, j).ToString().TrimEnd())? ExcelUtil.GetCell(sheet, i, j).ToString().TrimEnd().ToUpper():"";j++;//</v>
      </c>
      <c r="Q30" s="1" t="str">
        <f t="shared" si="26"/>
        <v>ExcelUtil.SetContent(sheet, row, column++, (string)item[""]);</v>
      </c>
      <c r="R30" s="1" t="str">
        <f t="shared" si="12"/>
        <v>ht.Add("@" ,  );//</v>
      </c>
      <c r="S30" s="1" t="str">
        <f t="shared" si="27"/>
        <v>paramDt.Add("@" , master. );//</v>
      </c>
      <c r="T30" s="1" t="str">
        <f t="shared" ref="T30:T88" si="31">"{ name: '"&amp;F30&amp;"' , sort: '"&amp;F30&amp;"' },"</f>
        <v>{ name: '' , sort: '' },</v>
      </c>
      <c r="U30" s="1" t="str">
        <f t="shared" si="29"/>
        <v>"":"",</v>
      </c>
      <c r="V30" s="1" t="str">
        <f t="shared" si="30"/>
        <v>this.vo. = '' ; //</v>
      </c>
    </row>
    <row r="31" spans="1:22" x14ac:dyDescent="0.4">
      <c r="A31" s="1" t="s">
        <v>119</v>
      </c>
      <c r="H31" s="1" t="str">
        <f t="shared" si="17"/>
        <v>string</v>
      </c>
      <c r="I31" s="1" t="str">
        <f t="shared" si="7"/>
        <v xml:space="preserve">///&lt;summary&gt;
///
///&lt;/summary&gt;
public string  {get; set;}
</v>
      </c>
      <c r="J31" s="1" t="str">
        <f t="shared" si="20"/>
        <v xml:space="preserve"> AND t1. = @</v>
      </c>
      <c r="K31" s="1" t="str">
        <f t="shared" si="8"/>
        <v>t1.,</v>
      </c>
      <c r="L31" s="1" t="str">
        <f t="shared" si="21"/>
        <v>,</v>
      </c>
      <c r="M31" s="1" t="str">
        <f t="shared" si="22"/>
        <v>,@</v>
      </c>
      <c r="N31" s="1" t="str">
        <f t="shared" si="23"/>
        <v xml:space="preserve"> = @, </v>
      </c>
      <c r="O31" s="1" t="str">
        <f t="shared" si="24"/>
        <v>error += ExcelUtil.CheckValue(excelVo. , "", false, (null, null, ), (true, false, false), (false, false));</v>
      </c>
      <c r="P31" s="1" t="str">
        <f t="shared" si="25"/>
        <v>excelVo. = StringUtil.IsNotEmpty(ExcelUtil.GetCell(sheet, i, j).ToString().TrimEnd())? ExcelUtil.GetCell(sheet, i, j).ToString().TrimEnd().ToUpper():"";j++;//</v>
      </c>
      <c r="Q31" s="1" t="str">
        <f t="shared" si="26"/>
        <v>ExcelUtil.SetContent(sheet, row, column++, (string)item[""]);</v>
      </c>
      <c r="R31" s="1" t="str">
        <f t="shared" si="12"/>
        <v>ht.Add("@" ,  );//</v>
      </c>
      <c r="S31" s="1" t="str">
        <f t="shared" si="27"/>
        <v>paramDt.Add("@" , master. );//</v>
      </c>
      <c r="T31" s="1" t="str">
        <f t="shared" si="31"/>
        <v>{ name: '' , sort: '' },</v>
      </c>
      <c r="U31" s="1" t="str">
        <f t="shared" si="29"/>
        <v>"":"",</v>
      </c>
      <c r="V31" s="1" t="str">
        <f t="shared" si="30"/>
        <v>this.vo. = '' ; //</v>
      </c>
    </row>
    <row r="32" spans="1:22" x14ac:dyDescent="0.4">
      <c r="A32" s="1" t="s">
        <v>119</v>
      </c>
      <c r="H32" s="1" t="str">
        <f t="shared" si="17"/>
        <v>string</v>
      </c>
      <c r="I32" s="1" t="str">
        <f t="shared" si="7"/>
        <v xml:space="preserve">///&lt;summary&gt;
///
///&lt;/summary&gt;
public string  {get; set;}
</v>
      </c>
      <c r="J32" s="1" t="str">
        <f t="shared" si="20"/>
        <v xml:space="preserve"> AND t1. = @</v>
      </c>
      <c r="K32" s="1" t="str">
        <f t="shared" si="8"/>
        <v>t1.,</v>
      </c>
      <c r="L32" s="1" t="str">
        <f t="shared" si="21"/>
        <v>,</v>
      </c>
      <c r="M32" s="1" t="str">
        <f t="shared" si="22"/>
        <v>,@</v>
      </c>
      <c r="N32" s="1" t="str">
        <f t="shared" si="23"/>
        <v xml:space="preserve"> = @, </v>
      </c>
      <c r="O32" s="1" t="str">
        <f t="shared" si="24"/>
        <v>error += ExcelUtil.CheckValue(excelVo. , "", false, (null, null, ), (true, false, false), (false, false));</v>
      </c>
      <c r="P32" s="1" t="str">
        <f t="shared" si="25"/>
        <v>excelVo. = StringUtil.IsNotEmpty(ExcelUtil.GetCell(sheet, i, j).ToString().TrimEnd())? ExcelUtil.GetCell(sheet, i, j).ToString().TrimEnd().ToUpper():"";j++;//</v>
      </c>
      <c r="Q32" s="1" t="str">
        <f t="shared" si="26"/>
        <v>ExcelUtil.SetContent(sheet, row, column++, (string)item[""]);</v>
      </c>
      <c r="R32" s="1" t="str">
        <f t="shared" si="12"/>
        <v>ht.Add("@" ,  );//</v>
      </c>
      <c r="S32" s="1" t="str">
        <f t="shared" si="27"/>
        <v>paramDt.Add("@" , master. );//</v>
      </c>
      <c r="T32" s="1" t="str">
        <f t="shared" si="31"/>
        <v>{ name: '' , sort: '' },</v>
      </c>
      <c r="U32" s="1" t="str">
        <f t="shared" si="29"/>
        <v>"":"",</v>
      </c>
      <c r="V32" s="1" t="str">
        <f t="shared" si="30"/>
        <v>this.vo. = '' ; //</v>
      </c>
    </row>
    <row r="33" spans="1:22" x14ac:dyDescent="0.4">
      <c r="A33" s="1" t="s">
        <v>119</v>
      </c>
      <c r="H33" s="1" t="str">
        <f t="shared" si="17"/>
        <v>string</v>
      </c>
      <c r="I33" s="1" t="str">
        <f t="shared" si="7"/>
        <v xml:space="preserve">///&lt;summary&gt;
///
///&lt;/summary&gt;
public string  {get; set;}
</v>
      </c>
      <c r="J33" s="1" t="str">
        <f t="shared" si="20"/>
        <v xml:space="preserve"> AND t1. = @</v>
      </c>
      <c r="K33" s="1" t="str">
        <f t="shared" si="8"/>
        <v>t1.,</v>
      </c>
      <c r="L33" s="1" t="str">
        <f t="shared" si="21"/>
        <v>,</v>
      </c>
      <c r="M33" s="1" t="str">
        <f t="shared" si="22"/>
        <v>,@</v>
      </c>
      <c r="N33" s="1" t="str">
        <f t="shared" si="23"/>
        <v xml:space="preserve"> = @, </v>
      </c>
      <c r="O33" s="1" t="str">
        <f t="shared" si="24"/>
        <v>error += ExcelUtil.CheckValue(excelVo. , "", false, (null, null, ), (true, false, false), (false, false));</v>
      </c>
      <c r="P33" s="1" t="str">
        <f t="shared" si="25"/>
        <v>excelVo. = StringUtil.IsNotEmpty(ExcelUtil.GetCell(sheet, i, j).ToString().TrimEnd())? ExcelUtil.GetCell(sheet, i, j).ToString().TrimEnd().ToUpper():"";j++;//</v>
      </c>
      <c r="Q33" s="1" t="str">
        <f t="shared" si="26"/>
        <v>ExcelUtil.SetContent(sheet, row, column++, (string)item[""]);</v>
      </c>
      <c r="R33" s="1" t="str">
        <f t="shared" si="12"/>
        <v>ht.Add("@" ,  );//</v>
      </c>
      <c r="S33" s="1" t="str">
        <f t="shared" si="27"/>
        <v>paramDt.Add("@" , master. );//</v>
      </c>
      <c r="T33" s="1" t="str">
        <f t="shared" si="31"/>
        <v>{ name: '' , sort: '' },</v>
      </c>
      <c r="U33" s="1" t="str">
        <f t="shared" si="29"/>
        <v>"":"",</v>
      </c>
      <c r="V33" s="1" t="str">
        <f t="shared" si="30"/>
        <v>this.vo. = '' ; //</v>
      </c>
    </row>
    <row r="34" spans="1:22" x14ac:dyDescent="0.4">
      <c r="A34" s="1" t="s">
        <v>119</v>
      </c>
      <c r="H34" s="1" t="str">
        <f t="shared" si="17"/>
        <v>string</v>
      </c>
      <c r="I34" s="1" t="str">
        <f t="shared" si="7"/>
        <v xml:space="preserve">///&lt;summary&gt;
///
///&lt;/summary&gt;
public string  {get; set;}
</v>
      </c>
      <c r="J34" s="1" t="str">
        <f t="shared" si="20"/>
        <v xml:space="preserve"> AND t1. = @</v>
      </c>
      <c r="K34" s="1" t="str">
        <f t="shared" si="8"/>
        <v>t1.,</v>
      </c>
      <c r="L34" s="1" t="str">
        <f t="shared" si="21"/>
        <v>,</v>
      </c>
      <c r="M34" s="1" t="str">
        <f t="shared" si="22"/>
        <v>,@</v>
      </c>
      <c r="N34" s="1" t="str">
        <f t="shared" si="23"/>
        <v xml:space="preserve"> = @, </v>
      </c>
      <c r="O34" s="1" t="str">
        <f t="shared" si="24"/>
        <v>error += ExcelUtil.CheckValue(excelVo. , "", false, (null, null, ), (true, false, false), (false, false));</v>
      </c>
      <c r="P34" s="1" t="str">
        <f t="shared" si="25"/>
        <v>excelVo. = StringUtil.IsNotEmpty(ExcelUtil.GetCell(sheet, i, j).ToString().TrimEnd())? ExcelUtil.GetCell(sheet, i, j).ToString().TrimEnd().ToUpper():"";j++;//</v>
      </c>
      <c r="Q34" s="1" t="str">
        <f t="shared" si="26"/>
        <v>ExcelUtil.SetContent(sheet, row, column++, (string)item[""]);</v>
      </c>
      <c r="R34" s="1" t="str">
        <f t="shared" si="12"/>
        <v>ht.Add("@" ,  );//</v>
      </c>
      <c r="S34" s="1" t="str">
        <f t="shared" si="27"/>
        <v>paramDt.Add("@" , master. );//</v>
      </c>
      <c r="T34" s="1" t="str">
        <f t="shared" si="31"/>
        <v>{ name: '' , sort: '' },</v>
      </c>
      <c r="U34" s="1" t="str">
        <f t="shared" si="29"/>
        <v>"":"",</v>
      </c>
      <c r="V34" s="1" t="str">
        <f t="shared" si="30"/>
        <v>this.vo. = '' ; //</v>
      </c>
    </row>
    <row r="35" spans="1:22" x14ac:dyDescent="0.4">
      <c r="A35" s="1" t="s">
        <v>119</v>
      </c>
      <c r="H35" s="1" t="str">
        <f t="shared" si="17"/>
        <v>string</v>
      </c>
      <c r="I35" s="1" t="str">
        <f t="shared" si="7"/>
        <v xml:space="preserve">///&lt;summary&gt;
///
///&lt;/summary&gt;
public string  {get; set;}
</v>
      </c>
      <c r="J35" s="1" t="str">
        <f t="shared" si="20"/>
        <v xml:space="preserve"> AND t1. = @</v>
      </c>
      <c r="K35" s="1" t="str">
        <f t="shared" si="8"/>
        <v>t1.,</v>
      </c>
      <c r="L35" s="1" t="str">
        <f t="shared" si="21"/>
        <v>,</v>
      </c>
      <c r="M35" s="1" t="str">
        <f t="shared" si="22"/>
        <v>,@</v>
      </c>
      <c r="N35" s="1" t="str">
        <f t="shared" si="23"/>
        <v xml:space="preserve"> = @, </v>
      </c>
      <c r="O35" s="1" t="str">
        <f t="shared" si="24"/>
        <v>error += ExcelUtil.CheckValue(excelVo. , "", false, (null, null, ), (true, false, false), (false, false));</v>
      </c>
      <c r="P35" s="1" t="str">
        <f t="shared" si="25"/>
        <v>excelVo. = StringUtil.IsNotEmpty(ExcelUtil.GetCell(sheet, i, j).ToString().TrimEnd())? ExcelUtil.GetCell(sheet, i, j).ToString().TrimEnd().ToUpper():"";j++;//</v>
      </c>
      <c r="Q35" s="1" t="str">
        <f t="shared" si="26"/>
        <v>ExcelUtil.SetContent(sheet, row, column++, (string)item[""]);</v>
      </c>
      <c r="R35" s="1" t="str">
        <f t="shared" si="12"/>
        <v>ht.Add("@" ,  );//</v>
      </c>
      <c r="S35" s="1" t="str">
        <f t="shared" si="27"/>
        <v>paramDt.Add("@" , master. );//</v>
      </c>
      <c r="T35" s="1" t="str">
        <f t="shared" si="31"/>
        <v>{ name: '' , sort: '' },</v>
      </c>
      <c r="U35" s="1" t="str">
        <f t="shared" si="29"/>
        <v>"":"",</v>
      </c>
      <c r="V35" s="1" t="str">
        <f t="shared" si="30"/>
        <v>this.vo. = '' ; //</v>
      </c>
    </row>
    <row r="36" spans="1:22" x14ac:dyDescent="0.4">
      <c r="A36" s="1" t="s">
        <v>119</v>
      </c>
      <c r="H36" s="1" t="str">
        <f t="shared" si="17"/>
        <v>string</v>
      </c>
      <c r="I36" s="1" t="str">
        <f t="shared" si="7"/>
        <v xml:space="preserve">///&lt;summary&gt;
///
///&lt;/summary&gt;
public string  {get; set;}
</v>
      </c>
      <c r="J36" s="1" t="str">
        <f t="shared" si="20"/>
        <v xml:space="preserve"> AND t1. = @</v>
      </c>
      <c r="K36" s="1" t="str">
        <f t="shared" si="8"/>
        <v>t1.,</v>
      </c>
      <c r="L36" s="1" t="str">
        <f t="shared" si="21"/>
        <v>,</v>
      </c>
      <c r="M36" s="1" t="str">
        <f t="shared" si="22"/>
        <v>,@</v>
      </c>
      <c r="N36" s="1" t="str">
        <f t="shared" si="23"/>
        <v xml:space="preserve"> = @, </v>
      </c>
      <c r="O36" s="1" t="str">
        <f t="shared" si="24"/>
        <v>error += ExcelUtil.CheckValue(excelVo. , "", false, (null, null, ), (true, false, false), (false, false));</v>
      </c>
      <c r="P36" s="1" t="str">
        <f t="shared" si="25"/>
        <v>excelVo. = StringUtil.IsNotEmpty(ExcelUtil.GetCell(sheet, i, j).ToString().TrimEnd())? ExcelUtil.GetCell(sheet, i, j).ToString().TrimEnd().ToUpper():"";j++;//</v>
      </c>
      <c r="Q36" s="1" t="str">
        <f t="shared" si="26"/>
        <v>ExcelUtil.SetContent(sheet, row, column++, (string)item[""]);</v>
      </c>
      <c r="R36" s="1" t="str">
        <f t="shared" si="12"/>
        <v>ht.Add("@" ,  );//</v>
      </c>
      <c r="S36" s="1" t="str">
        <f t="shared" si="27"/>
        <v>paramDt.Add("@" , master. );//</v>
      </c>
      <c r="T36" s="1" t="str">
        <f t="shared" si="31"/>
        <v>{ name: '' , sort: '' },</v>
      </c>
      <c r="U36" s="1" t="str">
        <f t="shared" si="29"/>
        <v>"":"",</v>
      </c>
      <c r="V36" s="1" t="str">
        <f t="shared" si="30"/>
        <v>this.vo. = '' ; //</v>
      </c>
    </row>
    <row r="37" spans="1:22" x14ac:dyDescent="0.4">
      <c r="A37" s="1" t="s">
        <v>119</v>
      </c>
      <c r="H37" s="1" t="str">
        <f t="shared" si="17"/>
        <v>string</v>
      </c>
      <c r="I37" s="1" t="str">
        <f t="shared" si="7"/>
        <v xml:space="preserve">///&lt;summary&gt;
///
///&lt;/summary&gt;
public string  {get; set;}
</v>
      </c>
      <c r="J37" s="1" t="str">
        <f t="shared" si="20"/>
        <v xml:space="preserve"> AND t1. = @</v>
      </c>
      <c r="K37" s="1" t="str">
        <f t="shared" si="8"/>
        <v>t1.,</v>
      </c>
      <c r="L37" s="1" t="str">
        <f t="shared" si="21"/>
        <v>,</v>
      </c>
      <c r="M37" s="1" t="str">
        <f t="shared" si="22"/>
        <v>,@</v>
      </c>
      <c r="N37" s="1" t="str">
        <f t="shared" si="23"/>
        <v xml:space="preserve"> = @, </v>
      </c>
      <c r="O37" s="1" t="str">
        <f t="shared" si="24"/>
        <v>error += ExcelUtil.CheckValue(excelVo. , "", false, (null, null, ), (true, false, false), (false, false));</v>
      </c>
      <c r="P37" s="1" t="str">
        <f t="shared" si="25"/>
        <v>excelVo. = StringUtil.IsNotEmpty(ExcelUtil.GetCell(sheet, i, j).ToString().TrimEnd())? ExcelUtil.GetCell(sheet, i, j).ToString().TrimEnd().ToUpper():"";j++;//</v>
      </c>
      <c r="Q37" s="1" t="str">
        <f t="shared" si="26"/>
        <v>ExcelUtil.SetContent(sheet, row, column++, (string)item[""]);</v>
      </c>
      <c r="R37" s="1" t="str">
        <f t="shared" si="12"/>
        <v>ht.Add("@" ,  );//</v>
      </c>
      <c r="S37" s="1" t="str">
        <f t="shared" si="27"/>
        <v>paramDt.Add("@" , master. );//</v>
      </c>
      <c r="T37" s="1" t="str">
        <f t="shared" si="31"/>
        <v>{ name: '' , sort: '' },</v>
      </c>
      <c r="U37" s="1" t="str">
        <f t="shared" si="29"/>
        <v>"":"",</v>
      </c>
      <c r="V37" s="1" t="str">
        <f t="shared" si="30"/>
        <v>this.vo. = '' ; //</v>
      </c>
    </row>
    <row r="38" spans="1:22" x14ac:dyDescent="0.4">
      <c r="A38" s="1" t="s">
        <v>119</v>
      </c>
      <c r="H38" s="1" t="str">
        <f t="shared" si="17"/>
        <v>string</v>
      </c>
      <c r="I38" s="1" t="str">
        <f t="shared" si="7"/>
        <v xml:space="preserve">///&lt;summary&gt;
///
///&lt;/summary&gt;
public string  {get; set;}
</v>
      </c>
      <c r="J38" s="1" t="str">
        <f t="shared" si="20"/>
        <v xml:space="preserve"> AND t1. = @</v>
      </c>
      <c r="K38" s="1" t="str">
        <f t="shared" si="8"/>
        <v>t1.,</v>
      </c>
      <c r="L38" s="1" t="str">
        <f t="shared" si="21"/>
        <v>,</v>
      </c>
      <c r="M38" s="1" t="str">
        <f t="shared" si="22"/>
        <v>,@</v>
      </c>
      <c r="N38" s="1" t="str">
        <f t="shared" si="23"/>
        <v xml:space="preserve"> = @, </v>
      </c>
      <c r="O38" s="1" t="str">
        <f t="shared" si="24"/>
        <v>error += ExcelUtil.CheckValue(excelVo. , "", false, (null, null, ), (true, false, false), (false, false));</v>
      </c>
      <c r="P38" s="1" t="str">
        <f t="shared" si="25"/>
        <v>excelVo. = StringUtil.IsNotEmpty(ExcelUtil.GetCell(sheet, i, j).ToString().TrimEnd())? ExcelUtil.GetCell(sheet, i, j).ToString().TrimEnd().ToUpper():"";j++;//</v>
      </c>
      <c r="Q38" s="1" t="str">
        <f t="shared" si="26"/>
        <v>ExcelUtil.SetContent(sheet, row, column++, (string)item[""]);</v>
      </c>
      <c r="R38" s="1" t="str">
        <f t="shared" si="12"/>
        <v>ht.Add("@" ,  );//</v>
      </c>
      <c r="S38" s="1" t="str">
        <f t="shared" si="27"/>
        <v>paramDt.Add("@" , master. );//</v>
      </c>
      <c r="T38" s="1" t="str">
        <f t="shared" si="31"/>
        <v>{ name: '' , sort: '' },</v>
      </c>
      <c r="U38" s="1" t="str">
        <f t="shared" si="29"/>
        <v>"":"",</v>
      </c>
      <c r="V38" s="1" t="str">
        <f t="shared" si="30"/>
        <v>this.vo. = '' ; //</v>
      </c>
    </row>
    <row r="39" spans="1:22" x14ac:dyDescent="0.4">
      <c r="A39" s="1" t="s">
        <v>119</v>
      </c>
      <c r="H39" s="1" t="str">
        <f t="shared" si="17"/>
        <v>string</v>
      </c>
      <c r="I39" s="1" t="str">
        <f t="shared" si="7"/>
        <v xml:space="preserve">///&lt;summary&gt;
///
///&lt;/summary&gt;
public string  {get; set;}
</v>
      </c>
      <c r="J39" s="1" t="str">
        <f t="shared" si="20"/>
        <v xml:space="preserve"> AND t1. = @</v>
      </c>
      <c r="K39" s="1" t="str">
        <f t="shared" si="8"/>
        <v>t1.,</v>
      </c>
      <c r="L39" s="1" t="str">
        <f t="shared" si="21"/>
        <v>,</v>
      </c>
      <c r="M39" s="1" t="str">
        <f t="shared" si="22"/>
        <v>,@</v>
      </c>
      <c r="N39" s="1" t="str">
        <f t="shared" si="23"/>
        <v xml:space="preserve"> = @, </v>
      </c>
      <c r="O39" s="1" t="str">
        <f t="shared" si="24"/>
        <v>error += ExcelUtil.CheckValue(excelVo. , "", false, (null, null, ), (true, false, false), (false, false));</v>
      </c>
      <c r="P39" s="1" t="str">
        <f t="shared" si="25"/>
        <v>excelVo. = StringUtil.IsNotEmpty(ExcelUtil.GetCell(sheet, i, j).ToString().TrimEnd())? ExcelUtil.GetCell(sheet, i, j).ToString().TrimEnd().ToUpper():"";j++;//</v>
      </c>
      <c r="Q39" s="1" t="str">
        <f t="shared" si="26"/>
        <v>ExcelUtil.SetContent(sheet, row, column++, (string)item[""]);</v>
      </c>
      <c r="R39" s="1" t="str">
        <f t="shared" si="12"/>
        <v>ht.Add("@" ,  );//</v>
      </c>
      <c r="S39" s="1" t="str">
        <f t="shared" si="27"/>
        <v>paramDt.Add("@" , master. );//</v>
      </c>
      <c r="T39" s="1" t="str">
        <f t="shared" si="31"/>
        <v>{ name: '' , sort: '' },</v>
      </c>
      <c r="U39" s="1" t="str">
        <f t="shared" si="29"/>
        <v>"":"",</v>
      </c>
      <c r="V39" s="1" t="str">
        <f t="shared" si="30"/>
        <v>this.vo. = '' ; //</v>
      </c>
    </row>
    <row r="40" spans="1:22" x14ac:dyDescent="0.4">
      <c r="A40" s="1" t="s">
        <v>119</v>
      </c>
      <c r="H40" s="1" t="str">
        <f t="shared" si="17"/>
        <v>string</v>
      </c>
      <c r="I40" s="1" t="str">
        <f t="shared" si="7"/>
        <v xml:space="preserve">///&lt;summary&gt;
///
///&lt;/summary&gt;
public string  {get; set;}
</v>
      </c>
      <c r="J40" s="1" t="str">
        <f t="shared" si="20"/>
        <v xml:space="preserve"> AND t1. = @</v>
      </c>
      <c r="K40" s="1" t="str">
        <f t="shared" si="8"/>
        <v>t1.,</v>
      </c>
      <c r="L40" s="1" t="str">
        <f t="shared" si="21"/>
        <v>,</v>
      </c>
      <c r="M40" s="1" t="str">
        <f t="shared" si="22"/>
        <v>,@</v>
      </c>
      <c r="N40" s="1" t="str">
        <f t="shared" si="23"/>
        <v xml:space="preserve"> = @, </v>
      </c>
      <c r="O40" s="1" t="str">
        <f t="shared" si="24"/>
        <v>error += ExcelUtil.CheckValue(excelVo. , "", false, (null, null, ), (true, false, false), (false, false));</v>
      </c>
      <c r="P40" s="1" t="str">
        <f t="shared" si="25"/>
        <v>excelVo. = StringUtil.IsNotEmpty(ExcelUtil.GetCell(sheet, i, j).ToString().TrimEnd())? ExcelUtil.GetCell(sheet, i, j).ToString().TrimEnd().ToUpper():"";j++;//</v>
      </c>
      <c r="Q40" s="1" t="str">
        <f t="shared" si="26"/>
        <v>ExcelUtil.SetContent(sheet, row, column++, (string)item[""]);</v>
      </c>
      <c r="R40" s="1" t="str">
        <f t="shared" si="12"/>
        <v>ht.Add("@" ,  );//</v>
      </c>
      <c r="S40" s="1" t="str">
        <f t="shared" si="27"/>
        <v>paramDt.Add("@" , master. );//</v>
      </c>
      <c r="T40" s="1" t="str">
        <f t="shared" si="31"/>
        <v>{ name: '' , sort: '' },</v>
      </c>
      <c r="U40" s="1" t="str">
        <f t="shared" si="29"/>
        <v>"":"",</v>
      </c>
      <c r="V40" s="1" t="str">
        <f t="shared" si="30"/>
        <v>this.vo. = '' ; //</v>
      </c>
    </row>
    <row r="41" spans="1:22" x14ac:dyDescent="0.4">
      <c r="A41" s="1" t="s">
        <v>119</v>
      </c>
      <c r="H41" s="1" t="str">
        <f t="shared" si="17"/>
        <v>string</v>
      </c>
      <c r="I41" s="1" t="str">
        <f t="shared" si="7"/>
        <v xml:space="preserve">///&lt;summary&gt;
///
///&lt;/summary&gt;
public string  {get; set;}
</v>
      </c>
      <c r="J41" s="1" t="str">
        <f t="shared" si="20"/>
        <v xml:space="preserve"> AND t1. = @</v>
      </c>
      <c r="K41" s="1" t="str">
        <f t="shared" si="8"/>
        <v>t1.,</v>
      </c>
      <c r="L41" s="1" t="str">
        <f t="shared" si="21"/>
        <v>,</v>
      </c>
      <c r="M41" s="1" t="str">
        <f t="shared" si="22"/>
        <v>,@</v>
      </c>
      <c r="N41" s="1" t="str">
        <f t="shared" si="23"/>
        <v xml:space="preserve"> = @, </v>
      </c>
      <c r="O41" s="1" t="str">
        <f t="shared" si="24"/>
        <v>error += ExcelUtil.CheckValue(excelVo. , "", false, (null, null, ), (true, false, false), (false, false));</v>
      </c>
      <c r="P41" s="1" t="str">
        <f t="shared" si="25"/>
        <v>excelVo. = StringUtil.IsNotEmpty(ExcelUtil.GetCell(sheet, i, j).ToString().TrimEnd())? ExcelUtil.GetCell(sheet, i, j).ToString().TrimEnd().ToUpper():"";j++;//</v>
      </c>
      <c r="Q41" s="1" t="str">
        <f t="shared" si="26"/>
        <v>ExcelUtil.SetContent(sheet, row, column++, (string)item[""]);</v>
      </c>
      <c r="R41" s="1" t="str">
        <f t="shared" si="12"/>
        <v>ht.Add("@" ,  );//</v>
      </c>
      <c r="S41" s="1" t="str">
        <f t="shared" si="27"/>
        <v>paramDt.Add("@" , master. );//</v>
      </c>
      <c r="T41" s="1" t="str">
        <f t="shared" si="31"/>
        <v>{ name: '' , sort: '' },</v>
      </c>
      <c r="U41" s="1" t="str">
        <f t="shared" si="29"/>
        <v>"":"",</v>
      </c>
      <c r="V41" s="1" t="str">
        <f t="shared" si="30"/>
        <v>this.vo. = '' ; //</v>
      </c>
    </row>
    <row r="42" spans="1:22" x14ac:dyDescent="0.4">
      <c r="A42" s="1" t="s">
        <v>119</v>
      </c>
      <c r="H42" s="1" t="str">
        <f t="shared" si="17"/>
        <v>string</v>
      </c>
      <c r="I42" s="1" t="str">
        <f t="shared" si="7"/>
        <v xml:space="preserve">///&lt;summary&gt;
///
///&lt;/summary&gt;
public string  {get; set;}
</v>
      </c>
      <c r="J42" s="1" t="str">
        <f t="shared" si="20"/>
        <v xml:space="preserve"> AND t1. = @</v>
      </c>
      <c r="K42" s="1" t="str">
        <f t="shared" si="8"/>
        <v>t1.,</v>
      </c>
      <c r="L42" s="1" t="str">
        <f t="shared" si="21"/>
        <v>,</v>
      </c>
      <c r="M42" s="1" t="str">
        <f t="shared" si="22"/>
        <v>,@</v>
      </c>
      <c r="N42" s="1" t="str">
        <f t="shared" si="23"/>
        <v xml:space="preserve"> = @, </v>
      </c>
      <c r="O42" s="1" t="str">
        <f t="shared" si="24"/>
        <v>error += ExcelUtil.CheckValue(excelVo. , "", false, (null, null, ), (true, false, false), (false, false));</v>
      </c>
      <c r="P42" s="1" t="str">
        <f t="shared" si="25"/>
        <v>excelVo. = StringUtil.IsNotEmpty(ExcelUtil.GetCell(sheet, i, j).ToString().TrimEnd())? ExcelUtil.GetCell(sheet, i, j).ToString().TrimEnd().ToUpper():"";j++;//</v>
      </c>
      <c r="Q42" s="1" t="str">
        <f t="shared" si="26"/>
        <v>ExcelUtil.SetContent(sheet, row, column++, (string)item[""]);</v>
      </c>
      <c r="R42" s="1" t="str">
        <f t="shared" si="12"/>
        <v>ht.Add("@" ,  );//</v>
      </c>
      <c r="S42" s="1" t="str">
        <f t="shared" si="27"/>
        <v>paramDt.Add("@" , master. );//</v>
      </c>
      <c r="T42" s="1" t="str">
        <f t="shared" si="31"/>
        <v>{ name: '' , sort: '' },</v>
      </c>
      <c r="U42" s="1" t="str">
        <f t="shared" si="29"/>
        <v>"":"",</v>
      </c>
      <c r="V42" s="1" t="str">
        <f t="shared" si="30"/>
        <v>this.vo. = '' ; //</v>
      </c>
    </row>
    <row r="43" spans="1:22" x14ac:dyDescent="0.4">
      <c r="A43" s="1" t="s">
        <v>119</v>
      </c>
      <c r="H43" s="1" t="str">
        <f t="shared" si="17"/>
        <v>string</v>
      </c>
      <c r="I43" s="1" t="str">
        <f t="shared" si="7"/>
        <v xml:space="preserve">///&lt;summary&gt;
///
///&lt;/summary&gt;
public string  {get; set;}
</v>
      </c>
      <c r="J43" s="1" t="str">
        <f t="shared" si="20"/>
        <v xml:space="preserve"> AND t1. = @</v>
      </c>
      <c r="K43" s="1" t="str">
        <f t="shared" si="8"/>
        <v>t1.,</v>
      </c>
      <c r="L43" s="1" t="str">
        <f t="shared" si="21"/>
        <v>,</v>
      </c>
      <c r="M43" s="1" t="str">
        <f t="shared" si="22"/>
        <v>,@</v>
      </c>
      <c r="N43" s="1" t="str">
        <f t="shared" si="23"/>
        <v xml:space="preserve"> = @, </v>
      </c>
      <c r="O43" s="1" t="str">
        <f t="shared" si="24"/>
        <v>error += ExcelUtil.CheckValue(excelVo. , "", false, (null, null, ), (true, false, false), (false, false));</v>
      </c>
      <c r="P43" s="1" t="str">
        <f t="shared" si="25"/>
        <v>excelVo. = StringUtil.IsNotEmpty(ExcelUtil.GetCell(sheet, i, j).ToString().TrimEnd())? ExcelUtil.GetCell(sheet, i, j).ToString().TrimEnd().ToUpper():"";j++;//</v>
      </c>
      <c r="Q43" s="1" t="str">
        <f t="shared" si="26"/>
        <v>ExcelUtil.SetContent(sheet, row, column++, (string)item[""]);</v>
      </c>
      <c r="R43" s="1" t="str">
        <f t="shared" si="12"/>
        <v>ht.Add("@" ,  );//</v>
      </c>
      <c r="S43" s="1" t="str">
        <f t="shared" si="27"/>
        <v>paramDt.Add("@" , master. );//</v>
      </c>
      <c r="T43" s="1" t="str">
        <f t="shared" si="31"/>
        <v>{ name: '' , sort: '' },</v>
      </c>
      <c r="U43" s="1" t="str">
        <f t="shared" si="29"/>
        <v>"":"",</v>
      </c>
      <c r="V43" s="1" t="str">
        <f t="shared" si="30"/>
        <v>this.vo. = '' ; //</v>
      </c>
    </row>
    <row r="44" spans="1:22" x14ac:dyDescent="0.4">
      <c r="A44" s="1" t="s">
        <v>119</v>
      </c>
      <c r="H44" s="1" t="str">
        <f t="shared" si="17"/>
        <v>string</v>
      </c>
      <c r="I44" s="1" t="str">
        <f t="shared" si="7"/>
        <v xml:space="preserve">///&lt;summary&gt;
///
///&lt;/summary&gt;
public string  {get; set;}
</v>
      </c>
      <c r="J44" s="1" t="str">
        <f t="shared" si="20"/>
        <v xml:space="preserve"> AND t1. = @</v>
      </c>
      <c r="K44" s="1" t="str">
        <f t="shared" si="8"/>
        <v>t1.,</v>
      </c>
      <c r="L44" s="1" t="str">
        <f t="shared" si="21"/>
        <v>,</v>
      </c>
      <c r="M44" s="1" t="str">
        <f t="shared" si="22"/>
        <v>,@</v>
      </c>
      <c r="N44" s="1" t="str">
        <f t="shared" si="23"/>
        <v xml:space="preserve"> = @, </v>
      </c>
      <c r="O44" s="1" t="str">
        <f t="shared" si="24"/>
        <v>error += ExcelUtil.CheckValue(excelVo. , "", false, (null, null, ), (true, false, false), (false, false));</v>
      </c>
      <c r="P44" s="1" t="str">
        <f t="shared" si="25"/>
        <v>excelVo. = StringUtil.IsNotEmpty(ExcelUtil.GetCell(sheet, i, j).ToString().TrimEnd())? ExcelUtil.GetCell(sheet, i, j).ToString().TrimEnd().ToUpper():"";j++;//</v>
      </c>
      <c r="Q44" s="1" t="str">
        <f t="shared" si="26"/>
        <v>ExcelUtil.SetContent(sheet, row, column++, (string)item[""]);</v>
      </c>
      <c r="R44" s="1" t="str">
        <f t="shared" si="12"/>
        <v>ht.Add("@" ,  );//</v>
      </c>
      <c r="S44" s="1" t="str">
        <f t="shared" si="27"/>
        <v>paramDt.Add("@" , master. );//</v>
      </c>
      <c r="T44" s="1" t="str">
        <f t="shared" si="31"/>
        <v>{ name: '' , sort: '' },</v>
      </c>
      <c r="U44" s="1" t="str">
        <f t="shared" si="29"/>
        <v>"":"",</v>
      </c>
      <c r="V44" s="1" t="str">
        <f t="shared" si="30"/>
        <v>this.vo. = '' ; //</v>
      </c>
    </row>
    <row r="45" spans="1:22" x14ac:dyDescent="0.4">
      <c r="A45" s="1" t="s">
        <v>119</v>
      </c>
      <c r="H45" s="1" t="str">
        <f t="shared" si="17"/>
        <v>string</v>
      </c>
      <c r="I45" s="1" t="str">
        <f t="shared" si="7"/>
        <v xml:space="preserve">///&lt;summary&gt;
///
///&lt;/summary&gt;
public string  {get; set;}
</v>
      </c>
      <c r="J45" s="1" t="str">
        <f t="shared" si="20"/>
        <v xml:space="preserve"> AND t1. = @</v>
      </c>
      <c r="K45" s="1" t="str">
        <f t="shared" si="8"/>
        <v>t1.,</v>
      </c>
      <c r="L45" s="1" t="str">
        <f t="shared" si="21"/>
        <v>,</v>
      </c>
      <c r="M45" s="1" t="str">
        <f t="shared" si="22"/>
        <v>,@</v>
      </c>
      <c r="N45" s="1" t="str">
        <f t="shared" si="23"/>
        <v xml:space="preserve"> = @, </v>
      </c>
      <c r="O45" s="1" t="str">
        <f t="shared" si="24"/>
        <v>error += ExcelUtil.CheckValue(excelVo. , "", false, (null, null, ), (true, false, false), (false, false));</v>
      </c>
      <c r="P45" s="1" t="str">
        <f t="shared" si="25"/>
        <v>excelVo. = StringUtil.IsNotEmpty(ExcelUtil.GetCell(sheet, i, j).ToString().TrimEnd())? ExcelUtil.GetCell(sheet, i, j).ToString().TrimEnd().ToUpper():"";j++;//</v>
      </c>
      <c r="Q45" s="1" t="str">
        <f t="shared" si="26"/>
        <v>ExcelUtil.SetContent(sheet, row, column++, (string)item[""]);</v>
      </c>
      <c r="R45" s="1" t="str">
        <f t="shared" si="12"/>
        <v>ht.Add("@" ,  );//</v>
      </c>
      <c r="S45" s="1" t="str">
        <f t="shared" si="27"/>
        <v>paramDt.Add("@" , master. );//</v>
      </c>
      <c r="T45" s="1" t="str">
        <f t="shared" si="31"/>
        <v>{ name: '' , sort: '' },</v>
      </c>
      <c r="U45" s="1" t="str">
        <f t="shared" si="29"/>
        <v>"":"",</v>
      </c>
      <c r="V45" s="1" t="str">
        <f t="shared" si="30"/>
        <v>this.vo. = '' ; //</v>
      </c>
    </row>
    <row r="46" spans="1:22" x14ac:dyDescent="0.4">
      <c r="A46" s="1" t="s">
        <v>119</v>
      </c>
      <c r="H46" s="1" t="str">
        <f t="shared" si="17"/>
        <v>string</v>
      </c>
      <c r="I46" s="1" t="str">
        <f t="shared" si="7"/>
        <v xml:space="preserve">///&lt;summary&gt;
///
///&lt;/summary&gt;
public string  {get; set;}
</v>
      </c>
      <c r="J46" s="1" t="str">
        <f t="shared" si="20"/>
        <v xml:space="preserve"> AND t1. = @</v>
      </c>
      <c r="K46" s="1" t="str">
        <f t="shared" si="8"/>
        <v>t1.,</v>
      </c>
      <c r="L46" s="1" t="str">
        <f t="shared" si="21"/>
        <v>,</v>
      </c>
      <c r="M46" s="1" t="str">
        <f t="shared" si="22"/>
        <v>,@</v>
      </c>
      <c r="N46" s="1" t="str">
        <f t="shared" si="23"/>
        <v xml:space="preserve"> = @, </v>
      </c>
      <c r="O46" s="1" t="str">
        <f t="shared" si="24"/>
        <v>error += ExcelUtil.CheckValue(excelVo. , "", false, (null, null, ), (true, false, false), (false, false));</v>
      </c>
      <c r="P46" s="1" t="str">
        <f t="shared" si="25"/>
        <v>excelVo. = StringUtil.IsNotEmpty(ExcelUtil.GetCell(sheet, i, j).ToString().TrimEnd())? ExcelUtil.GetCell(sheet, i, j).ToString().TrimEnd().ToUpper():"";j++;//</v>
      </c>
      <c r="Q46" s="1" t="str">
        <f t="shared" si="26"/>
        <v>ExcelUtil.SetContent(sheet, row, column++, (string)item[""]);</v>
      </c>
      <c r="R46" s="1" t="str">
        <f t="shared" si="12"/>
        <v>ht.Add("@" ,  );//</v>
      </c>
      <c r="S46" s="1" t="str">
        <f t="shared" si="27"/>
        <v>paramDt.Add("@" , master. );//</v>
      </c>
      <c r="T46" s="1" t="str">
        <f t="shared" si="31"/>
        <v>{ name: '' , sort: '' },</v>
      </c>
      <c r="U46" s="1" t="str">
        <f t="shared" si="29"/>
        <v>"":"",</v>
      </c>
      <c r="V46" s="1" t="str">
        <f t="shared" si="30"/>
        <v>this.vo. = '' ; //</v>
      </c>
    </row>
    <row r="47" spans="1:22" x14ac:dyDescent="0.4">
      <c r="A47" s="1" t="s">
        <v>119</v>
      </c>
      <c r="H47" s="1" t="str">
        <f t="shared" si="17"/>
        <v>string</v>
      </c>
      <c r="I47" s="1" t="str">
        <f t="shared" si="7"/>
        <v xml:space="preserve">///&lt;summary&gt;
///
///&lt;/summary&gt;
public string  {get; set;}
</v>
      </c>
      <c r="J47" s="1" t="str">
        <f t="shared" si="20"/>
        <v xml:space="preserve"> AND t1. = @</v>
      </c>
      <c r="K47" s="1" t="str">
        <f t="shared" si="8"/>
        <v>t1.,</v>
      </c>
      <c r="L47" s="1" t="str">
        <f t="shared" si="21"/>
        <v>,</v>
      </c>
      <c r="M47" s="1" t="str">
        <f t="shared" si="22"/>
        <v>,@</v>
      </c>
      <c r="N47" s="1" t="str">
        <f t="shared" si="23"/>
        <v xml:space="preserve"> = @, </v>
      </c>
      <c r="O47" s="1" t="str">
        <f t="shared" si="24"/>
        <v>error += ExcelUtil.CheckValue(excelVo. , "", false, (null, null, ), (true, false, false), (false, false));</v>
      </c>
      <c r="P47" s="1" t="str">
        <f t="shared" si="25"/>
        <v>excelVo. = StringUtil.IsNotEmpty(ExcelUtil.GetCell(sheet, i, j).ToString().TrimEnd())? ExcelUtil.GetCell(sheet, i, j).ToString().TrimEnd().ToUpper():"";j++;//</v>
      </c>
      <c r="Q47" s="1" t="str">
        <f t="shared" si="26"/>
        <v>ExcelUtil.SetContent(sheet, row, column++, (string)item[""]);</v>
      </c>
      <c r="R47" s="1" t="str">
        <f t="shared" ref="R25:R85" si="32">"paramDt.Add("&amp; """" &amp;"@"&amp; B47&amp; """" &amp;" , "&amp; G47 &amp;" );//"&amp;D47</f>
        <v>paramDt.Add("@" ,  );//</v>
      </c>
      <c r="S47" s="1" t="str">
        <f t="shared" si="27"/>
        <v>paramDt.Add("@" , master. );//</v>
      </c>
      <c r="T47" s="1" t="str">
        <f t="shared" si="31"/>
        <v>{ name: '' , sort: '' },</v>
      </c>
      <c r="U47" s="1" t="str">
        <f t="shared" si="29"/>
        <v>"":"",</v>
      </c>
      <c r="V47" s="1" t="str">
        <f t="shared" si="30"/>
        <v>this.vo. = '' ; //</v>
      </c>
    </row>
    <row r="48" spans="1:22" x14ac:dyDescent="0.4">
      <c r="A48" s="1" t="s">
        <v>119</v>
      </c>
      <c r="H48" s="1" t="str">
        <f t="shared" si="17"/>
        <v>string</v>
      </c>
      <c r="I48" s="1" t="str">
        <f t="shared" si="7"/>
        <v xml:space="preserve">///&lt;summary&gt;
///
///&lt;/summary&gt;
public string  {get; set;}
</v>
      </c>
      <c r="J48" s="1" t="str">
        <f t="shared" si="20"/>
        <v xml:space="preserve"> AND t1. = @</v>
      </c>
      <c r="K48" s="1" t="str">
        <f t="shared" si="8"/>
        <v>t1.,</v>
      </c>
      <c r="L48" s="1" t="str">
        <f t="shared" si="21"/>
        <v>,</v>
      </c>
      <c r="M48" s="1" t="str">
        <f t="shared" si="22"/>
        <v>,@</v>
      </c>
      <c r="N48" s="1" t="str">
        <f t="shared" si="23"/>
        <v xml:space="preserve"> = @, </v>
      </c>
      <c r="O48" s="1" t="str">
        <f t="shared" si="24"/>
        <v>error += ExcelUtil.CheckValue(excelVo. , "", false, (null, null, ), (true, false, false), (false, false));</v>
      </c>
      <c r="P48" s="1" t="str">
        <f t="shared" si="25"/>
        <v>excelVo. = StringUtil.IsNotEmpty(ExcelUtil.GetCell(sheet, i, j).ToString().TrimEnd())? ExcelUtil.GetCell(sheet, i, j).ToString().TrimEnd().ToUpper():"";j++;//</v>
      </c>
      <c r="Q48" s="1" t="str">
        <f t="shared" si="26"/>
        <v>ExcelUtil.SetContent(sheet, row, column++, (string)item[""]);</v>
      </c>
      <c r="R48" s="1" t="str">
        <f t="shared" si="32"/>
        <v>paramDt.Add("@" ,  );//</v>
      </c>
      <c r="S48" s="1" t="str">
        <f t="shared" si="27"/>
        <v>paramDt.Add("@" , master. );//</v>
      </c>
      <c r="T48" s="1" t="str">
        <f t="shared" si="31"/>
        <v>{ name: '' , sort: '' },</v>
      </c>
      <c r="U48" s="1" t="str">
        <f t="shared" si="29"/>
        <v>"":"",</v>
      </c>
      <c r="V48" s="1" t="str">
        <f t="shared" si="30"/>
        <v>this.vo. = '' ; //</v>
      </c>
    </row>
    <row r="49" spans="1:22" x14ac:dyDescent="0.4">
      <c r="A49" s="1" t="s">
        <v>119</v>
      </c>
      <c r="H49" s="1" t="str">
        <f t="shared" si="17"/>
        <v>string</v>
      </c>
      <c r="I49" s="1" t="str">
        <f t="shared" si="7"/>
        <v xml:space="preserve">///&lt;summary&gt;
///
///&lt;/summary&gt;
public string  {get; set;}
</v>
      </c>
      <c r="J49" s="1" t="str">
        <f t="shared" si="20"/>
        <v xml:space="preserve"> AND t1. = @</v>
      </c>
      <c r="K49" s="1" t="str">
        <f t="shared" si="8"/>
        <v>t1.,</v>
      </c>
      <c r="L49" s="1" t="str">
        <f t="shared" si="21"/>
        <v>,</v>
      </c>
      <c r="M49" s="1" t="str">
        <f t="shared" si="22"/>
        <v>,@</v>
      </c>
      <c r="N49" s="1" t="str">
        <f t="shared" si="23"/>
        <v xml:space="preserve"> = @, </v>
      </c>
      <c r="O49" s="1" t="str">
        <f t="shared" si="24"/>
        <v>error += ExcelUtil.CheckValue(excelVo. , "", false, (null, null, ), (true, false, false), (false, false));</v>
      </c>
      <c r="P49" s="1" t="str">
        <f t="shared" si="25"/>
        <v>excelVo. = StringUtil.IsNotEmpty(ExcelUtil.GetCell(sheet, i, j).ToString().TrimEnd())? ExcelUtil.GetCell(sheet, i, j).ToString().TrimEnd().ToUpper():"";j++;//</v>
      </c>
      <c r="Q49" s="1" t="str">
        <f t="shared" si="26"/>
        <v>ExcelUtil.SetContent(sheet, row, column++, (string)item[""]);</v>
      </c>
      <c r="R49" s="1" t="str">
        <f t="shared" si="32"/>
        <v>paramDt.Add("@" ,  );//</v>
      </c>
      <c r="S49" s="1" t="str">
        <f t="shared" si="27"/>
        <v>paramDt.Add("@" , master. );//</v>
      </c>
      <c r="T49" s="1" t="str">
        <f t="shared" si="31"/>
        <v>{ name: '' , sort: '' },</v>
      </c>
      <c r="U49" s="1" t="str">
        <f t="shared" si="29"/>
        <v>"":"",</v>
      </c>
      <c r="V49" s="1" t="str">
        <f t="shared" si="30"/>
        <v>this.vo. = '' ; //</v>
      </c>
    </row>
    <row r="50" spans="1:22" x14ac:dyDescent="0.4">
      <c r="A50" s="1" t="s">
        <v>119</v>
      </c>
      <c r="H50" s="1" t="str">
        <f t="shared" si="17"/>
        <v>string</v>
      </c>
      <c r="I50" s="1" t="str">
        <f t="shared" si="7"/>
        <v xml:space="preserve">///&lt;summary&gt;
///
///&lt;/summary&gt;
public string  {get; set;}
</v>
      </c>
      <c r="J50" s="1" t="str">
        <f t="shared" si="20"/>
        <v xml:space="preserve"> AND t1. = @</v>
      </c>
      <c r="K50" s="1" t="str">
        <f t="shared" si="8"/>
        <v>t1.,</v>
      </c>
      <c r="L50" s="1" t="str">
        <f t="shared" si="21"/>
        <v>,</v>
      </c>
      <c r="M50" s="1" t="str">
        <f t="shared" si="22"/>
        <v>,@</v>
      </c>
      <c r="N50" s="1" t="str">
        <f t="shared" si="23"/>
        <v xml:space="preserve"> = @, </v>
      </c>
      <c r="O50" s="1" t="str">
        <f t="shared" si="24"/>
        <v>error += ExcelUtil.CheckValue(excelVo. , "", false, (null, null, ), (true, false, false), (false, false));</v>
      </c>
      <c r="P50" s="1" t="str">
        <f t="shared" si="25"/>
        <v>excelVo. = StringUtil.IsNotEmpty(ExcelUtil.GetCell(sheet, i, j).ToString().TrimEnd())? ExcelUtil.GetCell(sheet, i, j).ToString().TrimEnd().ToUpper():"";j++;//</v>
      </c>
      <c r="Q50" s="1" t="str">
        <f t="shared" si="26"/>
        <v>ExcelUtil.SetContent(sheet, row, column++, (string)item[""]);</v>
      </c>
      <c r="R50" s="1" t="str">
        <f t="shared" si="32"/>
        <v>paramDt.Add("@" ,  );//</v>
      </c>
      <c r="S50" s="1" t="str">
        <f t="shared" si="27"/>
        <v>paramDt.Add("@" , master. );//</v>
      </c>
      <c r="T50" s="1" t="str">
        <f t="shared" si="31"/>
        <v>{ name: '' , sort: '' },</v>
      </c>
      <c r="U50" s="1" t="str">
        <f t="shared" si="29"/>
        <v>"":"",</v>
      </c>
      <c r="V50" s="1" t="str">
        <f t="shared" si="30"/>
        <v>this.vo. = '' ; //</v>
      </c>
    </row>
    <row r="51" spans="1:22" x14ac:dyDescent="0.4">
      <c r="A51" s="1" t="s">
        <v>119</v>
      </c>
      <c r="H51" s="1" t="str">
        <f t="shared" si="17"/>
        <v>string</v>
      </c>
      <c r="I51" s="1" t="str">
        <f t="shared" si="7"/>
        <v xml:space="preserve">///&lt;summary&gt;
///
///&lt;/summary&gt;
public string  {get; set;}
</v>
      </c>
      <c r="J51" s="1" t="str">
        <f t="shared" si="20"/>
        <v xml:space="preserve"> AND t1. = @</v>
      </c>
      <c r="K51" s="1" t="str">
        <f t="shared" si="8"/>
        <v>t1.,</v>
      </c>
      <c r="L51" s="1" t="str">
        <f t="shared" si="21"/>
        <v>,</v>
      </c>
      <c r="M51" s="1" t="str">
        <f t="shared" si="22"/>
        <v>,@</v>
      </c>
      <c r="N51" s="1" t="str">
        <f t="shared" si="23"/>
        <v xml:space="preserve"> = @, </v>
      </c>
      <c r="O51" s="1" t="str">
        <f t="shared" si="24"/>
        <v>error += ExcelUtil.CheckValue(excelVo. , "", false, (null, null, ), (true, false, false), (false, false));</v>
      </c>
      <c r="P51" s="1" t="str">
        <f t="shared" si="25"/>
        <v>excelVo. = StringUtil.IsNotEmpty(ExcelUtil.GetCell(sheet, i, j).ToString().TrimEnd())? ExcelUtil.GetCell(sheet, i, j).ToString().TrimEnd().ToUpper():"";j++;//</v>
      </c>
      <c r="Q51" s="1" t="str">
        <f t="shared" si="26"/>
        <v>ExcelUtil.SetContent(sheet, row, column++, (string)item[""]);</v>
      </c>
      <c r="R51" s="1" t="str">
        <f t="shared" si="32"/>
        <v>paramDt.Add("@" ,  );//</v>
      </c>
      <c r="S51" s="1" t="str">
        <f t="shared" si="27"/>
        <v>paramDt.Add("@" , master. );//</v>
      </c>
      <c r="T51" s="1" t="str">
        <f t="shared" si="31"/>
        <v>{ name: '' , sort: '' },</v>
      </c>
      <c r="U51" s="1" t="str">
        <f t="shared" si="29"/>
        <v>"":"",</v>
      </c>
      <c r="V51" s="1" t="str">
        <f t="shared" si="30"/>
        <v>this.vo. = '' ; //</v>
      </c>
    </row>
    <row r="52" spans="1:22" x14ac:dyDescent="0.4">
      <c r="A52" s="1" t="s">
        <v>119</v>
      </c>
      <c r="H52" s="1" t="str">
        <f t="shared" si="17"/>
        <v>string</v>
      </c>
      <c r="I52" s="1" t="str">
        <f t="shared" si="7"/>
        <v xml:space="preserve">///&lt;summary&gt;
///
///&lt;/summary&gt;
public string  {get; set;}
</v>
      </c>
      <c r="J52" s="1" t="str">
        <f t="shared" si="20"/>
        <v xml:space="preserve"> AND t1. = @</v>
      </c>
      <c r="K52" s="1" t="str">
        <f t="shared" si="8"/>
        <v>t1.,</v>
      </c>
      <c r="L52" s="1" t="str">
        <f t="shared" si="21"/>
        <v>,</v>
      </c>
      <c r="M52" s="1" t="str">
        <f t="shared" si="22"/>
        <v>,@</v>
      </c>
      <c r="N52" s="1" t="str">
        <f t="shared" si="23"/>
        <v xml:space="preserve"> = @, </v>
      </c>
      <c r="O52" s="1" t="str">
        <f t="shared" si="24"/>
        <v>error += ExcelUtil.CheckValue(excelVo. , "", false, (null, null, ), (true, false, false), (false, false));</v>
      </c>
      <c r="P52" s="1" t="str">
        <f t="shared" si="25"/>
        <v>excelVo. = StringUtil.IsNotEmpty(ExcelUtil.GetCell(sheet, i, j).ToString().TrimEnd())? ExcelUtil.GetCell(sheet, i, j).ToString().TrimEnd().ToUpper():"";j++;//</v>
      </c>
      <c r="Q52" s="1" t="str">
        <f t="shared" si="26"/>
        <v>ExcelUtil.SetContent(sheet, row, column++, (string)item[""]);</v>
      </c>
      <c r="R52" s="1" t="str">
        <f t="shared" si="32"/>
        <v>paramDt.Add("@" ,  );//</v>
      </c>
      <c r="S52" s="1" t="str">
        <f t="shared" si="27"/>
        <v>paramDt.Add("@" , master. );//</v>
      </c>
      <c r="T52" s="1" t="str">
        <f t="shared" si="31"/>
        <v>{ name: '' , sort: '' },</v>
      </c>
      <c r="U52" s="1" t="str">
        <f t="shared" si="29"/>
        <v>"":"",</v>
      </c>
      <c r="V52" s="1" t="str">
        <f t="shared" si="30"/>
        <v>this.vo. = '' ; //</v>
      </c>
    </row>
    <row r="53" spans="1:22" x14ac:dyDescent="0.4">
      <c r="A53" s="1" t="s">
        <v>119</v>
      </c>
      <c r="H53" s="1" t="str">
        <f t="shared" si="17"/>
        <v>string</v>
      </c>
      <c r="I53" s="1" t="str">
        <f t="shared" si="7"/>
        <v xml:space="preserve">///&lt;summary&gt;
///
///&lt;/summary&gt;
public string  {get; set;}
</v>
      </c>
      <c r="J53" s="1" t="str">
        <f t="shared" si="20"/>
        <v xml:space="preserve"> AND t1. = @</v>
      </c>
      <c r="K53" s="1" t="str">
        <f t="shared" si="8"/>
        <v>t1.,</v>
      </c>
      <c r="L53" s="1" t="str">
        <f t="shared" si="21"/>
        <v>,</v>
      </c>
      <c r="M53" s="1" t="str">
        <f t="shared" si="22"/>
        <v>,@</v>
      </c>
      <c r="N53" s="1" t="str">
        <f t="shared" si="23"/>
        <v xml:space="preserve"> = @, </v>
      </c>
      <c r="O53" s="1" t="str">
        <f t="shared" si="24"/>
        <v>error += ExcelUtil.CheckValue(excelVo. , "", false, (null, null, ), (true, false, false), (false, false));</v>
      </c>
      <c r="P53" s="1" t="str">
        <f t="shared" si="25"/>
        <v>excelVo. = StringUtil.IsNotEmpty(ExcelUtil.GetCell(sheet, i, j).ToString().TrimEnd())? ExcelUtil.GetCell(sheet, i, j).ToString().TrimEnd().ToUpper():"";j++;//</v>
      </c>
      <c r="Q53" s="1" t="str">
        <f t="shared" si="26"/>
        <v>ExcelUtil.SetContent(sheet, row, column++, (string)item[""]);</v>
      </c>
      <c r="R53" s="1" t="str">
        <f t="shared" si="32"/>
        <v>paramDt.Add("@" ,  );//</v>
      </c>
      <c r="S53" s="1" t="str">
        <f t="shared" si="27"/>
        <v>paramDt.Add("@" , master. );//</v>
      </c>
      <c r="T53" s="1" t="str">
        <f t="shared" si="31"/>
        <v>{ name: '' , sort: '' },</v>
      </c>
      <c r="U53" s="1" t="str">
        <f t="shared" si="29"/>
        <v>"":"",</v>
      </c>
      <c r="V53" s="1" t="str">
        <f t="shared" si="30"/>
        <v>this.vo. = '' ; //</v>
      </c>
    </row>
    <row r="54" spans="1:22" x14ac:dyDescent="0.4">
      <c r="A54" s="1" t="s">
        <v>119</v>
      </c>
      <c r="H54" s="1" t="str">
        <f t="shared" si="17"/>
        <v>string</v>
      </c>
      <c r="I54" s="1" t="str">
        <f t="shared" si="7"/>
        <v xml:space="preserve">///&lt;summary&gt;
///
///&lt;/summary&gt;
public string  {get; set;}
</v>
      </c>
      <c r="J54" s="1" t="str">
        <f t="shared" si="20"/>
        <v xml:space="preserve"> AND t1. = @</v>
      </c>
      <c r="K54" s="1" t="str">
        <f t="shared" si="8"/>
        <v>t1.,</v>
      </c>
      <c r="L54" s="1" t="str">
        <f t="shared" si="21"/>
        <v>,</v>
      </c>
      <c r="M54" s="1" t="str">
        <f t="shared" si="22"/>
        <v>,@</v>
      </c>
      <c r="N54" s="1" t="str">
        <f t="shared" si="23"/>
        <v xml:space="preserve"> = @, </v>
      </c>
      <c r="O54" s="1" t="str">
        <f t="shared" si="24"/>
        <v>error += ExcelUtil.CheckValue(excelVo. , "", false, (null, null, ), (true, false, false), (false, false));</v>
      </c>
      <c r="P54" s="1" t="str">
        <f t="shared" si="25"/>
        <v>excelVo. = StringUtil.IsNotEmpty(ExcelUtil.GetCell(sheet, i, j).ToString().TrimEnd())? ExcelUtil.GetCell(sheet, i, j).ToString().TrimEnd().ToUpper():"";j++;//</v>
      </c>
      <c r="Q54" s="1" t="str">
        <f t="shared" si="26"/>
        <v>ExcelUtil.SetContent(sheet, row, column++, (string)item[""]);</v>
      </c>
      <c r="R54" s="1" t="str">
        <f t="shared" si="32"/>
        <v>paramDt.Add("@" ,  );//</v>
      </c>
      <c r="S54" s="1" t="str">
        <f t="shared" si="27"/>
        <v>paramDt.Add("@" , master. );//</v>
      </c>
      <c r="T54" s="1" t="str">
        <f t="shared" si="31"/>
        <v>{ name: '' , sort: '' },</v>
      </c>
      <c r="U54" s="1" t="str">
        <f t="shared" si="29"/>
        <v>"":"",</v>
      </c>
      <c r="V54" s="1" t="str">
        <f t="shared" si="30"/>
        <v>this.vo. = '' ; //</v>
      </c>
    </row>
    <row r="55" spans="1:22" x14ac:dyDescent="0.4">
      <c r="A55" s="1" t="s">
        <v>119</v>
      </c>
      <c r="D55" s="1" t="s">
        <v>6</v>
      </c>
      <c r="H55" s="1" t="str">
        <f t="shared" si="17"/>
        <v>decimal?</v>
      </c>
      <c r="I55" s="1" t="str">
        <f t="shared" si="7"/>
        <v xml:space="preserve">///&lt;summary&gt;
///
///&lt;/summary&gt;
public decimal?  {get; set;}
</v>
      </c>
      <c r="J55" s="1" t="str">
        <f t="shared" si="20"/>
        <v xml:space="preserve"> AND t1. = @</v>
      </c>
      <c r="K55" s="1" t="str">
        <f t="shared" si="8"/>
        <v>t1.,</v>
      </c>
      <c r="L55" s="1" t="str">
        <f t="shared" si="21"/>
        <v>,</v>
      </c>
      <c r="M55" s="1" t="str">
        <f t="shared" si="22"/>
        <v>,@</v>
      </c>
      <c r="N55" s="1" t="str">
        <f t="shared" si="23"/>
        <v xml:space="preserve"> = @, </v>
      </c>
      <c r="O55" s="1" t="str">
        <f t="shared" si="24"/>
        <v>error += ExcelUtil.CheckValue(excelVo..ToString()  , "", false, (null, null, ), (false, false, true), (false, false));</v>
      </c>
      <c r="P55" s="1" t="str">
        <f t="shared" si="25"/>
        <v>excelVo. = StringUtil.IsNotEmpty(ExcelUtil.GetCell(sheet, i, j).ToString().TrimEnd())? ExcelUtil.GetCell(sheet, i, j).ToString().TrimEnd().ToUpper():"";j++;//</v>
      </c>
      <c r="Q55" s="1" t="str">
        <f t="shared" si="26"/>
        <v>ExcelUtil.SetContent(sheet, row, column++, (string)item[""]);</v>
      </c>
      <c r="R55" s="1" t="str">
        <f t="shared" si="32"/>
        <v>paramDt.Add("@" ,  );//DECIMAL</v>
      </c>
      <c r="S55" s="1" t="str">
        <f t="shared" si="27"/>
        <v>paramDt.Add("@" , master. );//</v>
      </c>
      <c r="T55" s="1" t="str">
        <f t="shared" si="31"/>
        <v>{ name: '' , sort: '' },</v>
      </c>
      <c r="U55" s="1" t="str">
        <f t="shared" si="29"/>
        <v>"":"",</v>
      </c>
      <c r="V55" s="1" t="str">
        <f t="shared" si="30"/>
        <v>this.vo. = 0 ; //</v>
      </c>
    </row>
    <row r="56" spans="1:22" x14ac:dyDescent="0.4">
      <c r="A56" s="1" t="s">
        <v>119</v>
      </c>
      <c r="D56" s="1" t="s">
        <v>6</v>
      </c>
      <c r="H56" s="1" t="str">
        <f t="shared" si="17"/>
        <v>decimal?</v>
      </c>
      <c r="I56" s="1" t="str">
        <f t="shared" si="7"/>
        <v xml:space="preserve">///&lt;summary&gt;
///
///&lt;/summary&gt;
public decimal?  {get; set;}
</v>
      </c>
      <c r="J56" s="1" t="str">
        <f t="shared" si="20"/>
        <v xml:space="preserve"> AND t1. = @</v>
      </c>
      <c r="K56" s="1" t="str">
        <f t="shared" si="8"/>
        <v>t1.,</v>
      </c>
      <c r="L56" s="1" t="str">
        <f t="shared" si="21"/>
        <v>,</v>
      </c>
      <c r="M56" s="1" t="str">
        <f t="shared" si="22"/>
        <v>,@</v>
      </c>
      <c r="N56" s="1" t="str">
        <f t="shared" si="23"/>
        <v xml:space="preserve"> = @, </v>
      </c>
      <c r="O56" s="1" t="str">
        <f t="shared" si="24"/>
        <v>error += ExcelUtil.CheckValue(excelVo..ToString()  , "", false, (null, null, ), (false, false, true), (false, false));</v>
      </c>
      <c r="P56" s="1" t="str">
        <f t="shared" si="25"/>
        <v>excelVo. = StringUtil.IsNotEmpty(ExcelUtil.GetCell(sheet, i, j).ToString().TrimEnd())? ExcelUtil.GetCell(sheet, i, j).ToString().TrimEnd().ToUpper():"";j++;//</v>
      </c>
      <c r="Q56" s="1" t="str">
        <f t="shared" si="26"/>
        <v>ExcelUtil.SetContent(sheet, row, column++, (string)item[""]);</v>
      </c>
      <c r="R56" s="1" t="str">
        <f t="shared" si="32"/>
        <v>paramDt.Add("@" ,  );//DECIMAL</v>
      </c>
      <c r="S56" s="1" t="str">
        <f t="shared" si="27"/>
        <v>paramDt.Add("@" , master. );//</v>
      </c>
      <c r="T56" s="1" t="str">
        <f t="shared" si="31"/>
        <v>{ name: '' , sort: '' },</v>
      </c>
      <c r="U56" s="1" t="str">
        <f t="shared" si="29"/>
        <v>"":"",</v>
      </c>
      <c r="V56" s="1" t="str">
        <f t="shared" si="30"/>
        <v>this.vo. = 0 ; //</v>
      </c>
    </row>
    <row r="57" spans="1:22" x14ac:dyDescent="0.4">
      <c r="A57" s="1" t="s">
        <v>119</v>
      </c>
      <c r="D57" s="1" t="s">
        <v>6</v>
      </c>
      <c r="H57" s="1" t="str">
        <f t="shared" si="17"/>
        <v>decimal?</v>
      </c>
      <c r="I57" s="1" t="str">
        <f t="shared" si="7"/>
        <v xml:space="preserve">///&lt;summary&gt;
///
///&lt;/summary&gt;
public decimal?  {get; set;}
</v>
      </c>
      <c r="J57" s="1" t="str">
        <f t="shared" si="20"/>
        <v xml:space="preserve"> AND t1. = @</v>
      </c>
      <c r="K57" s="1" t="str">
        <f t="shared" ref="K25:K84" si="33">"t1."&amp;B57&amp;"        "&amp;"AS "&amp;G57&amp;","</f>
        <v>t1.        AS ,</v>
      </c>
      <c r="L57" s="1" t="str">
        <f t="shared" si="21"/>
        <v>,</v>
      </c>
      <c r="M57" s="1" t="str">
        <f t="shared" si="22"/>
        <v>,@</v>
      </c>
      <c r="N57" s="1" t="str">
        <f t="shared" si="23"/>
        <v xml:space="preserve"> = @, </v>
      </c>
      <c r="O57" s="1" t="str">
        <f t="shared" si="24"/>
        <v>error += ExcelUtil.CheckValue(excelVo..ToString()  , "", false, (null, null, ), (false, false, true), (false, false));</v>
      </c>
      <c r="P57" s="1" t="str">
        <f t="shared" si="25"/>
        <v>excelVo. = StringUtil.IsNotEmpty(ExcelUtil.GetCell(sheet, i, j).ToString().TrimEnd())? ExcelUtil.GetCell(sheet, i, j).ToString().TrimEnd().ToUpper():"";j++;//</v>
      </c>
      <c r="Q57" s="1" t="str">
        <f t="shared" si="26"/>
        <v>ExcelUtil.SetContent(sheet, row, column++, (string)item[""]);</v>
      </c>
      <c r="R57" s="1" t="str">
        <f t="shared" si="32"/>
        <v>paramDt.Add("@" ,  );//DECIMAL</v>
      </c>
      <c r="S57" s="1" t="str">
        <f t="shared" si="27"/>
        <v>paramDt.Add("@" , master. );//</v>
      </c>
      <c r="T57" s="1" t="str">
        <f t="shared" si="31"/>
        <v>{ name: '' , sort: '' },</v>
      </c>
      <c r="U57" s="1" t="str">
        <f t="shared" si="29"/>
        <v>"":"",</v>
      </c>
      <c r="V57" s="1" t="str">
        <f t="shared" si="30"/>
        <v>this.vo. = 0 ; //</v>
      </c>
    </row>
    <row r="58" spans="1:22" x14ac:dyDescent="0.4">
      <c r="A58" s="1" t="s">
        <v>119</v>
      </c>
      <c r="D58" s="1" t="s">
        <v>6</v>
      </c>
      <c r="H58" s="1" t="str">
        <f t="shared" si="17"/>
        <v>decimal?</v>
      </c>
      <c r="I58" s="1" t="str">
        <f t="shared" si="7"/>
        <v xml:space="preserve">///&lt;summary&gt;
///
///&lt;/summary&gt;
public decimal?  {get; set;}
</v>
      </c>
      <c r="J58" s="1" t="str">
        <f t="shared" si="20"/>
        <v xml:space="preserve"> AND t1. = @</v>
      </c>
      <c r="K58" s="1" t="str">
        <f t="shared" si="33"/>
        <v>t1.        AS ,</v>
      </c>
      <c r="L58" s="1" t="str">
        <f t="shared" si="21"/>
        <v>,</v>
      </c>
      <c r="M58" s="1" t="str">
        <f t="shared" si="22"/>
        <v>,@</v>
      </c>
      <c r="N58" s="1" t="str">
        <f t="shared" si="23"/>
        <v xml:space="preserve"> = @, </v>
      </c>
      <c r="O58" s="1" t="str">
        <f t="shared" si="24"/>
        <v>error += ExcelUtil.CheckValue(excelVo..ToString()  , "", false, (null, null, ), (false, false, true), (false, false));</v>
      </c>
      <c r="P58" s="1" t="str">
        <f t="shared" si="25"/>
        <v>excelVo. = StringUtil.IsNotEmpty(ExcelUtil.GetCell(sheet, i, j).ToString().TrimEnd())? ExcelUtil.GetCell(sheet, i, j).ToString().TrimEnd().ToUpper():"";j++;//</v>
      </c>
      <c r="Q58" s="1" t="str">
        <f t="shared" si="26"/>
        <v>ExcelUtil.SetContent(sheet, row, column++, (string)item[""]);</v>
      </c>
      <c r="R58" s="1" t="str">
        <f t="shared" si="32"/>
        <v>paramDt.Add("@" ,  );//DECIMAL</v>
      </c>
      <c r="S58" s="1" t="str">
        <f t="shared" si="27"/>
        <v>paramDt.Add("@" , master. );//</v>
      </c>
      <c r="T58" s="1" t="str">
        <f t="shared" si="31"/>
        <v>{ name: '' , sort: '' },</v>
      </c>
      <c r="U58" s="1" t="str">
        <f t="shared" si="29"/>
        <v>"":"",</v>
      </c>
      <c r="V58" s="1" t="str">
        <f t="shared" si="30"/>
        <v>this.vo. = 0 ; //</v>
      </c>
    </row>
    <row r="59" spans="1:22" x14ac:dyDescent="0.4">
      <c r="A59" s="1" t="s">
        <v>119</v>
      </c>
      <c r="D59" s="1" t="s">
        <v>6</v>
      </c>
      <c r="I59" s="1" t="str">
        <f t="shared" si="7"/>
        <v xml:space="preserve">///&lt;summary&gt;
///
///&lt;/summary&gt;
public   {get; set;}
</v>
      </c>
      <c r="J59" s="1" t="str">
        <f t="shared" si="20"/>
        <v xml:space="preserve"> AND t1. = @</v>
      </c>
      <c r="K59" s="1" t="str">
        <f t="shared" si="33"/>
        <v>t1.        AS ,</v>
      </c>
      <c r="L59" s="1" t="str">
        <f t="shared" si="21"/>
        <v>,</v>
      </c>
      <c r="M59" s="1" t="str">
        <f t="shared" si="22"/>
        <v>,@</v>
      </c>
      <c r="N59" s="1" t="str">
        <f t="shared" si="23"/>
        <v xml:space="preserve"> = @, </v>
      </c>
      <c r="O59" s="1" t="str">
        <f t="shared" si="24"/>
        <v>error += ExcelUtil.CheckValue(excelVo..ToString()  , "", false, (null, null, ), (false, false, true), (false, false));</v>
      </c>
      <c r="P59" s="1" t="str">
        <f t="shared" si="25"/>
        <v>excelVo. = StringUtil.IsNotEmpty(ExcelUtil.GetCell(sheet, i, j).ToString().TrimEnd())? ExcelUtil.GetCell(sheet, i, j).ToString().TrimEnd().ToUpper():"";j++;//</v>
      </c>
      <c r="Q59" s="1" t="str">
        <f t="shared" si="26"/>
        <v>ExcelUtil.SetContent(sheet, row, column++, (string)item[""]);</v>
      </c>
      <c r="R59" s="1" t="str">
        <f t="shared" si="32"/>
        <v>paramDt.Add("@" ,  );//DECIMAL</v>
      </c>
      <c r="S59" s="1" t="str">
        <f t="shared" si="27"/>
        <v>paramDt.Add("@" , master. );//</v>
      </c>
      <c r="T59" s="1" t="str">
        <f t="shared" si="31"/>
        <v>{ name: '' , sort: '' },</v>
      </c>
      <c r="U59" s="1" t="str">
        <f t="shared" si="29"/>
        <v>"":"",</v>
      </c>
      <c r="V59" s="1" t="str">
        <f t="shared" si="30"/>
        <v>this.vo. = 0 ; //</v>
      </c>
    </row>
    <row r="60" spans="1:22" x14ac:dyDescent="0.4">
      <c r="A60" s="1" t="s">
        <v>119</v>
      </c>
      <c r="D60" s="1" t="s">
        <v>6</v>
      </c>
      <c r="I60" s="1" t="str">
        <f t="shared" si="7"/>
        <v xml:space="preserve">///&lt;summary&gt;
///
///&lt;/summary&gt;
public   {get; set;}
</v>
      </c>
      <c r="J60" s="1" t="str">
        <f t="shared" si="20"/>
        <v xml:space="preserve"> AND t1. = @</v>
      </c>
      <c r="K60" s="1" t="str">
        <f t="shared" si="33"/>
        <v>t1.        AS ,</v>
      </c>
      <c r="L60" s="1" t="str">
        <f t="shared" si="21"/>
        <v>,</v>
      </c>
      <c r="M60" s="1" t="str">
        <f t="shared" si="22"/>
        <v>,@</v>
      </c>
      <c r="N60" s="1" t="str">
        <f t="shared" si="23"/>
        <v xml:space="preserve"> = @, </v>
      </c>
      <c r="O60" s="1" t="str">
        <f t="shared" si="24"/>
        <v>error += ExcelUtil.CheckValue(excelVo..ToString()  , "", false, (null, null, ), (false, false, true), (false, false));</v>
      </c>
      <c r="P60" s="1" t="str">
        <f t="shared" si="25"/>
        <v>excelVo. = StringUtil.IsNotEmpty(ExcelUtil.GetCell(sheet, i, j).ToString().TrimEnd())? ExcelUtil.GetCell(sheet, i, j).ToString().TrimEnd().ToUpper():"";j++;//</v>
      </c>
      <c r="Q60" s="1" t="str">
        <f t="shared" si="26"/>
        <v>ExcelUtil.SetContent(sheet, row, column++, (string)item[""]);</v>
      </c>
      <c r="R60" s="1" t="str">
        <f t="shared" si="32"/>
        <v>paramDt.Add("@" ,  );//DECIMAL</v>
      </c>
      <c r="S60" s="1" t="str">
        <f t="shared" si="27"/>
        <v>paramDt.Add("@" , master. );//</v>
      </c>
      <c r="T60" s="1" t="str">
        <f t="shared" si="31"/>
        <v>{ name: '' , sort: '' },</v>
      </c>
      <c r="U60" s="1" t="str">
        <f t="shared" si="29"/>
        <v>"":"",</v>
      </c>
      <c r="V60" s="1" t="str">
        <f t="shared" si="30"/>
        <v>this.vo. = 0 ; //</v>
      </c>
    </row>
    <row r="61" spans="1:22" x14ac:dyDescent="0.4">
      <c r="A61" s="1" t="s">
        <v>119</v>
      </c>
      <c r="D61" s="1" t="s">
        <v>6</v>
      </c>
      <c r="I61" s="1" t="str">
        <f t="shared" si="7"/>
        <v xml:space="preserve">///&lt;summary&gt;
///
///&lt;/summary&gt;
public   {get; set;}
</v>
      </c>
      <c r="J61" s="1" t="str">
        <f t="shared" si="20"/>
        <v xml:space="preserve"> AND t1. = @</v>
      </c>
      <c r="K61" s="1" t="str">
        <f t="shared" si="33"/>
        <v>t1.        AS ,</v>
      </c>
      <c r="L61" s="1" t="str">
        <f t="shared" si="21"/>
        <v>,</v>
      </c>
      <c r="M61" s="1" t="str">
        <f t="shared" si="22"/>
        <v>,@</v>
      </c>
      <c r="N61" s="1" t="str">
        <f t="shared" si="23"/>
        <v xml:space="preserve"> = @, </v>
      </c>
      <c r="O61" s="1" t="str">
        <f t="shared" si="24"/>
        <v>error += ExcelUtil.CheckValue(excelVo..ToString()  , "", false, (null, null, ), (false, false, true), (false, false));</v>
      </c>
      <c r="P61" s="1" t="str">
        <f t="shared" si="25"/>
        <v>excelVo. = StringUtil.IsNotEmpty(ExcelUtil.GetCell(sheet, i, j).ToString().TrimEnd())? ExcelUtil.GetCell(sheet, i, j).ToString().TrimEnd().ToUpper():"";j++;//</v>
      </c>
      <c r="Q61" s="1" t="str">
        <f t="shared" si="26"/>
        <v>ExcelUtil.SetContent(sheet, row, column++, (string)item[""]);</v>
      </c>
      <c r="R61" s="1" t="str">
        <f t="shared" si="32"/>
        <v>paramDt.Add("@" ,  );//DECIMAL</v>
      </c>
      <c r="S61" s="1" t="str">
        <f t="shared" si="27"/>
        <v>paramDt.Add("@" , master. );//</v>
      </c>
      <c r="T61" s="1" t="str">
        <f t="shared" si="31"/>
        <v>{ name: '' , sort: '' },</v>
      </c>
      <c r="U61" s="1" t="str">
        <f t="shared" si="29"/>
        <v>"":"",</v>
      </c>
      <c r="V61" s="1" t="str">
        <f t="shared" si="30"/>
        <v>this.vo. = 0 ; //</v>
      </c>
    </row>
    <row r="62" spans="1:22" x14ac:dyDescent="0.4">
      <c r="A62" s="1" t="s">
        <v>119</v>
      </c>
      <c r="D62" s="1" t="s">
        <v>6</v>
      </c>
      <c r="I62" s="1" t="str">
        <f t="shared" si="7"/>
        <v xml:space="preserve">///&lt;summary&gt;
///
///&lt;/summary&gt;
public   {get; set;}
</v>
      </c>
      <c r="J62" s="1" t="str">
        <f t="shared" si="20"/>
        <v xml:space="preserve"> AND t1. = @</v>
      </c>
      <c r="K62" s="1" t="str">
        <f t="shared" si="33"/>
        <v>t1.        AS ,</v>
      </c>
      <c r="L62" s="1" t="str">
        <f t="shared" si="21"/>
        <v>,</v>
      </c>
      <c r="M62" s="1" t="str">
        <f t="shared" si="22"/>
        <v>,@</v>
      </c>
      <c r="N62" s="1" t="str">
        <f t="shared" si="23"/>
        <v xml:space="preserve"> = @, </v>
      </c>
      <c r="O62" s="1" t="str">
        <f t="shared" si="24"/>
        <v>error += ExcelUtil.CheckValue(excelVo..ToString()  , "", false, (null, null, ), (false, false, true), (false, false));</v>
      </c>
      <c r="P62" s="1" t="str">
        <f t="shared" si="25"/>
        <v>excelVo. = StringUtil.IsNotEmpty(ExcelUtil.GetCell(sheet, i, j).ToString().TrimEnd())? ExcelUtil.GetCell(sheet, i, j).ToString().TrimEnd().ToUpper():"";j++;//</v>
      </c>
      <c r="Q62" s="1" t="str">
        <f t="shared" si="26"/>
        <v>ExcelUtil.SetContent(sheet, row, column++, (string)item[""]);</v>
      </c>
      <c r="R62" s="1" t="str">
        <f t="shared" si="32"/>
        <v>paramDt.Add("@" ,  );//DECIMAL</v>
      </c>
      <c r="S62" s="1" t="str">
        <f t="shared" si="27"/>
        <v>paramDt.Add("@" , master. );//</v>
      </c>
      <c r="T62" s="1" t="str">
        <f t="shared" si="31"/>
        <v>{ name: '' , sort: '' },</v>
      </c>
      <c r="U62" s="1" t="str">
        <f t="shared" si="29"/>
        <v>"":"",</v>
      </c>
      <c r="V62" s="1" t="str">
        <f t="shared" si="30"/>
        <v>this.vo. = 0 ; //</v>
      </c>
    </row>
    <row r="63" spans="1:22" x14ac:dyDescent="0.4">
      <c r="A63" s="1" t="s">
        <v>119</v>
      </c>
      <c r="D63" s="1" t="s">
        <v>6</v>
      </c>
      <c r="I63" s="1" t="str">
        <f t="shared" si="7"/>
        <v xml:space="preserve">///&lt;summary&gt;
///
///&lt;/summary&gt;
public   {get; set;}
</v>
      </c>
      <c r="J63" s="1" t="str">
        <f t="shared" si="20"/>
        <v xml:space="preserve"> AND t1. = @</v>
      </c>
      <c r="K63" s="1" t="str">
        <f t="shared" si="33"/>
        <v>t1.        AS ,</v>
      </c>
      <c r="L63" s="1" t="str">
        <f t="shared" si="21"/>
        <v>,</v>
      </c>
      <c r="M63" s="1" t="str">
        <f t="shared" si="22"/>
        <v>,@</v>
      </c>
      <c r="N63" s="1" t="str">
        <f t="shared" si="23"/>
        <v xml:space="preserve"> = @, </v>
      </c>
      <c r="O63" s="1" t="str">
        <f t="shared" si="24"/>
        <v>error += ExcelUtil.CheckValue(excelVo..ToString()  , "", false, (null, null, ), (false, false, true), (false, false));</v>
      </c>
      <c r="P63" s="1" t="str">
        <f t="shared" si="25"/>
        <v>excelVo. = StringUtil.IsNotEmpty(ExcelUtil.GetCell(sheet, i, j).ToString().TrimEnd())? ExcelUtil.GetCell(sheet, i, j).ToString().TrimEnd().ToUpper():"";j++;//</v>
      </c>
      <c r="Q63" s="1" t="str">
        <f t="shared" si="26"/>
        <v>ExcelUtil.SetContent(sheet, row, column++, (string)item[""]);</v>
      </c>
      <c r="R63" s="1" t="str">
        <f t="shared" si="32"/>
        <v>paramDt.Add("@" ,  );//DECIMAL</v>
      </c>
      <c r="S63" s="1" t="str">
        <f t="shared" si="27"/>
        <v>paramDt.Add("@" , master. );//</v>
      </c>
      <c r="T63" s="1" t="str">
        <f t="shared" si="31"/>
        <v>{ name: '' , sort: '' },</v>
      </c>
      <c r="U63" s="1" t="str">
        <f t="shared" si="29"/>
        <v>"":"",</v>
      </c>
      <c r="V63" s="1" t="str">
        <f t="shared" si="30"/>
        <v>this.vo. = 0 ; //</v>
      </c>
    </row>
    <row r="64" spans="1:22" x14ac:dyDescent="0.4">
      <c r="A64" s="1" t="s">
        <v>119</v>
      </c>
      <c r="D64" s="1" t="s">
        <v>6</v>
      </c>
      <c r="I64" s="1" t="str">
        <f t="shared" si="7"/>
        <v xml:space="preserve">///&lt;summary&gt;
///
///&lt;/summary&gt;
public   {get; set;}
</v>
      </c>
      <c r="J64" s="1" t="str">
        <f t="shared" si="20"/>
        <v xml:space="preserve"> AND t1. = @</v>
      </c>
      <c r="K64" s="1" t="str">
        <f t="shared" si="33"/>
        <v>t1.        AS ,</v>
      </c>
      <c r="L64" s="1" t="str">
        <f t="shared" si="21"/>
        <v>,</v>
      </c>
      <c r="M64" s="1" t="str">
        <f t="shared" si="22"/>
        <v>,@</v>
      </c>
      <c r="N64" s="1" t="str">
        <f t="shared" si="23"/>
        <v xml:space="preserve"> = @, </v>
      </c>
      <c r="O64" s="1" t="str">
        <f t="shared" si="24"/>
        <v>error += ExcelUtil.CheckValue(excelVo..ToString()  , "", false, (null, null, ), (false, false, true), (false, false));</v>
      </c>
      <c r="P64" s="1" t="str">
        <f t="shared" si="25"/>
        <v>excelVo. = StringUtil.IsNotEmpty(ExcelUtil.GetCell(sheet, i, j).ToString().TrimEnd())? ExcelUtil.GetCell(sheet, i, j).ToString().TrimEnd().ToUpper():"";j++;//</v>
      </c>
      <c r="Q64" s="1" t="str">
        <f t="shared" si="26"/>
        <v>ExcelUtil.SetContent(sheet, row, column++, (string)item[""]);</v>
      </c>
      <c r="R64" s="1" t="str">
        <f t="shared" si="32"/>
        <v>paramDt.Add("@" ,  );//DECIMAL</v>
      </c>
      <c r="S64" s="1" t="str">
        <f t="shared" si="27"/>
        <v>paramDt.Add("@" , master. );//</v>
      </c>
      <c r="T64" s="1" t="str">
        <f t="shared" si="31"/>
        <v>{ name: '' , sort: '' },</v>
      </c>
      <c r="U64" s="1" t="str">
        <f t="shared" si="29"/>
        <v>"":"",</v>
      </c>
      <c r="V64" s="1" t="str">
        <f t="shared" si="30"/>
        <v>this.vo. = 0 ; //</v>
      </c>
    </row>
    <row r="65" spans="1:22" x14ac:dyDescent="0.4">
      <c r="A65" s="1" t="s">
        <v>119</v>
      </c>
      <c r="D65" s="1" t="s">
        <v>6</v>
      </c>
      <c r="I65" s="1" t="str">
        <f t="shared" si="7"/>
        <v xml:space="preserve">///&lt;summary&gt;
///
///&lt;/summary&gt;
public   {get; set;}
</v>
      </c>
      <c r="J65" s="1" t="str">
        <f t="shared" si="20"/>
        <v xml:space="preserve"> AND t1. = @</v>
      </c>
      <c r="K65" s="1" t="str">
        <f t="shared" si="33"/>
        <v>t1.        AS ,</v>
      </c>
      <c r="L65" s="1" t="str">
        <f t="shared" si="21"/>
        <v>,</v>
      </c>
      <c r="M65" s="1" t="str">
        <f t="shared" si="22"/>
        <v>,@</v>
      </c>
      <c r="N65" s="1" t="str">
        <f t="shared" si="23"/>
        <v xml:space="preserve"> = @, </v>
      </c>
      <c r="O65" s="1" t="str">
        <f t="shared" si="24"/>
        <v>error += ExcelUtil.CheckValue(excelVo..ToString()  , "", false, (null, null, ), (false, false, true), (false, false));</v>
      </c>
      <c r="P65" s="1" t="str">
        <f t="shared" si="25"/>
        <v>excelVo. = StringUtil.IsNotEmpty(ExcelUtil.GetCell(sheet, i, j).ToString().TrimEnd())? ExcelUtil.GetCell(sheet, i, j).ToString().TrimEnd().ToUpper():"";j++;//</v>
      </c>
      <c r="Q65" s="1" t="str">
        <f t="shared" si="26"/>
        <v>ExcelUtil.SetContent(sheet, row, column++, (string)item[""]);</v>
      </c>
      <c r="R65" s="1" t="str">
        <f t="shared" si="32"/>
        <v>paramDt.Add("@" ,  );//DECIMAL</v>
      </c>
      <c r="S65" s="1" t="str">
        <f t="shared" si="27"/>
        <v>paramDt.Add("@" , master. );//</v>
      </c>
      <c r="T65" s="1" t="str">
        <f t="shared" si="31"/>
        <v>{ name: '' , sort: '' },</v>
      </c>
      <c r="U65" s="1" t="str">
        <f t="shared" si="29"/>
        <v>"":"",</v>
      </c>
      <c r="V65" s="1" t="str">
        <f t="shared" si="30"/>
        <v>this.vo. = 0 ; //</v>
      </c>
    </row>
    <row r="66" spans="1:22" x14ac:dyDescent="0.4">
      <c r="A66" s="1" t="s">
        <v>119</v>
      </c>
      <c r="D66" s="1" t="s">
        <v>6</v>
      </c>
      <c r="I66" s="1" t="str">
        <f t="shared" si="7"/>
        <v xml:space="preserve">///&lt;summary&gt;
///
///&lt;/summary&gt;
public   {get; set;}
</v>
      </c>
      <c r="J66" s="1" t="str">
        <f t="shared" si="20"/>
        <v xml:space="preserve"> AND t1. = @</v>
      </c>
      <c r="K66" s="1" t="str">
        <f t="shared" si="33"/>
        <v>t1.        AS ,</v>
      </c>
      <c r="L66" s="1" t="str">
        <f t="shared" si="21"/>
        <v>,</v>
      </c>
      <c r="M66" s="1" t="str">
        <f t="shared" si="22"/>
        <v>,@</v>
      </c>
      <c r="N66" s="1" t="str">
        <f t="shared" si="23"/>
        <v xml:space="preserve"> = @, </v>
      </c>
      <c r="O66" s="1" t="str">
        <f t="shared" si="24"/>
        <v>error += ExcelUtil.CheckValue(excelVo..ToString()  , "", false, (null, null, ), (false, false, true), (false, false));</v>
      </c>
      <c r="P66" s="1" t="str">
        <f t="shared" si="25"/>
        <v>excelVo. = StringUtil.IsNotEmpty(ExcelUtil.GetCell(sheet, i, j).ToString().TrimEnd())? ExcelUtil.GetCell(sheet, i, j).ToString().TrimEnd().ToUpper():"";j++;//</v>
      </c>
      <c r="Q66" s="1" t="str">
        <f t="shared" si="26"/>
        <v>ExcelUtil.SetContent(sheet, row, column++, (string)item[""]);</v>
      </c>
      <c r="R66" s="1" t="str">
        <f t="shared" si="32"/>
        <v>paramDt.Add("@" ,  );//DECIMAL</v>
      </c>
      <c r="S66" s="1" t="str">
        <f t="shared" si="27"/>
        <v>paramDt.Add("@" , master. );//</v>
      </c>
      <c r="T66" s="1" t="str">
        <f t="shared" si="31"/>
        <v>{ name: '' , sort: '' },</v>
      </c>
      <c r="U66" s="1" t="str">
        <f t="shared" si="29"/>
        <v>"":"",</v>
      </c>
      <c r="V66" s="1" t="str">
        <f t="shared" si="30"/>
        <v>this.vo. = 0 ; //</v>
      </c>
    </row>
    <row r="67" spans="1:22" x14ac:dyDescent="0.4">
      <c r="A67" s="1" t="s">
        <v>119</v>
      </c>
      <c r="D67" s="1" t="s">
        <v>6</v>
      </c>
      <c r="I67" s="1" t="str">
        <f t="shared" si="7"/>
        <v xml:space="preserve">///&lt;summary&gt;
///
///&lt;/summary&gt;
public   {get; set;}
</v>
      </c>
      <c r="J67" s="1" t="str">
        <f t="shared" si="20"/>
        <v xml:space="preserve"> AND t1. = @</v>
      </c>
      <c r="K67" s="1" t="str">
        <f t="shared" si="33"/>
        <v>t1.        AS ,</v>
      </c>
      <c r="L67" s="1" t="str">
        <f t="shared" si="21"/>
        <v>,</v>
      </c>
      <c r="M67" s="1" t="str">
        <f t="shared" si="22"/>
        <v>,@</v>
      </c>
      <c r="N67" s="1" t="str">
        <f t="shared" si="23"/>
        <v xml:space="preserve"> = @, </v>
      </c>
      <c r="O67" s="1" t="str">
        <f t="shared" si="24"/>
        <v>error += ExcelUtil.CheckValue(excelVo..ToString()  , "", false, (null, null, ), (false, false, true), (false, false));</v>
      </c>
      <c r="P67" s="1" t="str">
        <f t="shared" si="25"/>
        <v>excelVo. = StringUtil.IsNotEmpty(ExcelUtil.GetCell(sheet, i, j).ToString().TrimEnd())? ExcelUtil.GetCell(sheet, i, j).ToString().TrimEnd().ToUpper():"";j++;//</v>
      </c>
      <c r="Q67" s="1" t="str">
        <f t="shared" si="26"/>
        <v>ExcelUtil.SetContent(sheet, row, column++, (string)item[""]);</v>
      </c>
      <c r="R67" s="1" t="str">
        <f t="shared" si="32"/>
        <v>paramDt.Add("@" ,  );//DECIMAL</v>
      </c>
      <c r="S67" s="1" t="str">
        <f t="shared" si="27"/>
        <v>paramDt.Add("@" , master. );//</v>
      </c>
      <c r="T67" s="1" t="str">
        <f t="shared" si="31"/>
        <v>{ name: '' , sort: '' },</v>
      </c>
      <c r="U67" s="1" t="str">
        <f t="shared" si="29"/>
        <v>"":"",</v>
      </c>
      <c r="V67" s="1" t="str">
        <f t="shared" si="30"/>
        <v>this.vo. = 0 ; //</v>
      </c>
    </row>
    <row r="68" spans="1:22" x14ac:dyDescent="0.4">
      <c r="A68" s="1" t="s">
        <v>119</v>
      </c>
      <c r="D68" s="1" t="s">
        <v>6</v>
      </c>
      <c r="I68" s="1" t="str">
        <f t="shared" si="7"/>
        <v xml:space="preserve">///&lt;summary&gt;
///
///&lt;/summary&gt;
public   {get; set;}
</v>
      </c>
      <c r="J68" s="1" t="str">
        <f t="shared" si="20"/>
        <v xml:space="preserve"> AND t1. = @</v>
      </c>
      <c r="K68" s="1" t="str">
        <f t="shared" si="33"/>
        <v>t1.        AS ,</v>
      </c>
      <c r="L68" s="1" t="str">
        <f t="shared" si="21"/>
        <v>,</v>
      </c>
      <c r="M68" s="1" t="str">
        <f t="shared" si="22"/>
        <v>,@</v>
      </c>
      <c r="N68" s="1" t="str">
        <f t="shared" si="23"/>
        <v xml:space="preserve"> = @, </v>
      </c>
      <c r="O68" s="1" t="str">
        <f t="shared" si="24"/>
        <v>error += ExcelUtil.CheckValue(excelVo..ToString()  , "", false, (null, null, ), (false, false, true), (false, false));</v>
      </c>
      <c r="P68" s="1" t="str">
        <f t="shared" si="25"/>
        <v>excelVo. = StringUtil.IsNotEmpty(ExcelUtil.GetCell(sheet, i, j).ToString().TrimEnd())? ExcelUtil.GetCell(sheet, i, j).ToString().TrimEnd().ToUpper():"";j++;//</v>
      </c>
      <c r="Q68" s="1" t="str">
        <f t="shared" si="26"/>
        <v>ExcelUtil.SetContent(sheet, row, column++, (string)item[""]);</v>
      </c>
      <c r="R68" s="1" t="str">
        <f t="shared" si="32"/>
        <v>paramDt.Add("@" ,  );//DECIMAL</v>
      </c>
      <c r="S68" s="1" t="str">
        <f t="shared" si="27"/>
        <v>paramDt.Add("@" , master. );//</v>
      </c>
      <c r="T68" s="1" t="str">
        <f t="shared" si="31"/>
        <v>{ name: '' , sort: '' },</v>
      </c>
      <c r="U68" s="1" t="str">
        <f t="shared" si="29"/>
        <v>"":"",</v>
      </c>
      <c r="V68" s="1" t="str">
        <f t="shared" si="30"/>
        <v>this.vo. = 0 ; //</v>
      </c>
    </row>
    <row r="69" spans="1:22" x14ac:dyDescent="0.4">
      <c r="A69" s="1" t="s">
        <v>119</v>
      </c>
      <c r="D69" s="1" t="s">
        <v>6</v>
      </c>
      <c r="I69" s="1" t="str">
        <f t="shared" si="7"/>
        <v xml:space="preserve">///&lt;summary&gt;
///
///&lt;/summary&gt;
public   {get; set;}
</v>
      </c>
      <c r="J69" s="1" t="str">
        <f t="shared" si="20"/>
        <v xml:space="preserve"> AND t1. = @</v>
      </c>
      <c r="K69" s="1" t="str">
        <f t="shared" si="33"/>
        <v>t1.        AS ,</v>
      </c>
      <c r="L69" s="1" t="str">
        <f t="shared" si="21"/>
        <v>,</v>
      </c>
      <c r="M69" s="1" t="str">
        <f t="shared" si="22"/>
        <v>,@</v>
      </c>
      <c r="N69" s="1" t="str">
        <f t="shared" si="23"/>
        <v xml:space="preserve"> = @, </v>
      </c>
      <c r="O69" s="1" t="str">
        <f t="shared" si="24"/>
        <v>error += ExcelUtil.CheckValue(excelVo..ToString()  , "", false, (null, null, ), (false, false, true), (false, false));</v>
      </c>
      <c r="P69" s="1" t="str">
        <f t="shared" si="25"/>
        <v>excelVo. = StringUtil.IsNotEmpty(ExcelUtil.GetCell(sheet, i, j).ToString().TrimEnd())? ExcelUtil.GetCell(sheet, i, j).ToString().TrimEnd().ToUpper():"";j++;//</v>
      </c>
      <c r="Q69" s="1" t="str">
        <f t="shared" si="26"/>
        <v>ExcelUtil.SetContent(sheet, row, column++, (string)item[""]);</v>
      </c>
      <c r="R69" s="1" t="str">
        <f t="shared" si="32"/>
        <v>paramDt.Add("@" ,  );//DECIMAL</v>
      </c>
      <c r="S69" s="1" t="str">
        <f t="shared" si="27"/>
        <v>paramDt.Add("@" , master. );//</v>
      </c>
      <c r="T69" s="1" t="str">
        <f t="shared" si="31"/>
        <v>{ name: '' , sort: '' },</v>
      </c>
      <c r="U69" s="1" t="str">
        <f t="shared" si="29"/>
        <v>"":"",</v>
      </c>
      <c r="V69" s="1" t="str">
        <f t="shared" si="30"/>
        <v>this.vo. = 0 ; //</v>
      </c>
    </row>
    <row r="70" spans="1:22" x14ac:dyDescent="0.4">
      <c r="A70" s="1" t="s">
        <v>119</v>
      </c>
      <c r="D70" s="1" t="s">
        <v>6</v>
      </c>
      <c r="I70" s="1" t="str">
        <f t="shared" ref="I59:I85" si="34">"///&lt;summary&gt;"&amp;CHAR(10)&amp;"///"&amp;TRIM(C70)&amp;CHAR(10)&amp;"///&lt;/summary&gt;"&amp;CHAR(10)&amp;"public "&amp;H70&amp;" " &amp;TRIM(C70)&amp;" {get; set;}"&amp;CHAR(10)</f>
        <v xml:space="preserve">///&lt;summary&gt;
///
///&lt;/summary&gt;
public   {get; set;}
</v>
      </c>
      <c r="J70" s="1" t="str">
        <f t="shared" si="20"/>
        <v xml:space="preserve"> AND t1. = @</v>
      </c>
      <c r="K70" s="1" t="str">
        <f t="shared" si="33"/>
        <v>t1.        AS ,</v>
      </c>
      <c r="L70" s="1" t="str">
        <f t="shared" si="21"/>
        <v>,</v>
      </c>
      <c r="M70" s="1" t="str">
        <f t="shared" si="22"/>
        <v>,@</v>
      </c>
      <c r="N70" s="1" t="str">
        <f t="shared" si="23"/>
        <v xml:space="preserve"> = @, </v>
      </c>
      <c r="O70" s="1" t="str">
        <f t="shared" si="24"/>
        <v>error += ExcelUtil.CheckValue(excelVo..ToString()  , "", false, (null, null, ), (false, false, true), (false, false));</v>
      </c>
      <c r="P70" s="1" t="str">
        <f t="shared" si="25"/>
        <v>excelVo. = StringUtil.IsNotEmpty(ExcelUtil.GetCell(sheet, i, j).ToString().TrimEnd())? ExcelUtil.GetCell(sheet, i, j).ToString().TrimEnd().ToUpper():"";j++;//</v>
      </c>
      <c r="Q70" s="1" t="str">
        <f t="shared" si="26"/>
        <v>ExcelUtil.SetContent(sheet, row, column++, (string)item[""]);</v>
      </c>
      <c r="R70" s="1" t="str">
        <f t="shared" si="32"/>
        <v>paramDt.Add("@" ,  );//DECIMAL</v>
      </c>
      <c r="S70" s="1" t="str">
        <f t="shared" si="27"/>
        <v>paramDt.Add("@" , master. );//</v>
      </c>
      <c r="T70" s="1" t="str">
        <f t="shared" si="31"/>
        <v>{ name: '' , sort: '' },</v>
      </c>
      <c r="U70" s="1" t="str">
        <f t="shared" si="29"/>
        <v>"":"",</v>
      </c>
      <c r="V70" s="1" t="str">
        <f t="shared" si="30"/>
        <v>this.vo. = 0 ; //</v>
      </c>
    </row>
    <row r="71" spans="1:22" x14ac:dyDescent="0.4">
      <c r="A71" s="1" t="s">
        <v>119</v>
      </c>
      <c r="D71" s="1" t="s">
        <v>6</v>
      </c>
      <c r="I71" s="1" t="str">
        <f t="shared" si="34"/>
        <v xml:space="preserve">///&lt;summary&gt;
///
///&lt;/summary&gt;
public   {get; set;}
</v>
      </c>
      <c r="J71" s="1" t="str">
        <f t="shared" si="20"/>
        <v xml:space="preserve"> AND t1. = @</v>
      </c>
      <c r="K71" s="1" t="str">
        <f t="shared" si="33"/>
        <v>t1.        AS ,</v>
      </c>
      <c r="L71" s="1" t="str">
        <f t="shared" si="21"/>
        <v>,</v>
      </c>
      <c r="M71" s="1" t="str">
        <f t="shared" si="22"/>
        <v>,@</v>
      </c>
      <c r="N71" s="1" t="str">
        <f t="shared" si="23"/>
        <v xml:space="preserve"> = @, </v>
      </c>
      <c r="O71" s="1" t="str">
        <f t="shared" si="24"/>
        <v>error += ExcelUtil.CheckValue(excelVo..ToString()  , "", false, (null, null, ), (false, false, true), (false, false));</v>
      </c>
      <c r="P71" s="1" t="str">
        <f t="shared" si="25"/>
        <v>excelVo. = StringUtil.IsNotEmpty(ExcelUtil.GetCell(sheet, i, j).ToString().TrimEnd())? ExcelUtil.GetCell(sheet, i, j).ToString().TrimEnd().ToUpper():"";j++;//</v>
      </c>
      <c r="Q71" s="1" t="str">
        <f t="shared" si="26"/>
        <v>ExcelUtil.SetContent(sheet, row, column++, (string)item[""]);</v>
      </c>
      <c r="R71" s="1" t="str">
        <f t="shared" si="32"/>
        <v>paramDt.Add("@" ,  );//DECIMAL</v>
      </c>
      <c r="S71" s="1" t="str">
        <f t="shared" si="27"/>
        <v>paramDt.Add("@" , master. );//</v>
      </c>
      <c r="T71" s="1" t="str">
        <f t="shared" si="31"/>
        <v>{ name: '' , sort: '' },</v>
      </c>
      <c r="U71" s="1" t="str">
        <f t="shared" si="29"/>
        <v>"":"",</v>
      </c>
      <c r="V71" s="1" t="str">
        <f t="shared" si="30"/>
        <v>this.vo. = 0 ; //</v>
      </c>
    </row>
    <row r="72" spans="1:22" x14ac:dyDescent="0.4">
      <c r="A72" s="1" t="s">
        <v>119</v>
      </c>
      <c r="D72" s="1" t="s">
        <v>6</v>
      </c>
      <c r="I72" s="1" t="str">
        <f t="shared" si="34"/>
        <v xml:space="preserve">///&lt;summary&gt;
///
///&lt;/summary&gt;
public   {get; set;}
</v>
      </c>
      <c r="J72" s="1" t="str">
        <f t="shared" si="20"/>
        <v xml:space="preserve"> AND t1. = @</v>
      </c>
      <c r="K72" s="1" t="str">
        <f t="shared" si="33"/>
        <v>t1.        AS ,</v>
      </c>
      <c r="L72" s="1" t="str">
        <f t="shared" si="21"/>
        <v>,</v>
      </c>
      <c r="M72" s="1" t="str">
        <f t="shared" si="22"/>
        <v>,@</v>
      </c>
      <c r="N72" s="1" t="str">
        <f t="shared" si="23"/>
        <v xml:space="preserve"> = @, </v>
      </c>
      <c r="O72" s="1" t="str">
        <f t="shared" si="24"/>
        <v>error += ExcelUtil.CheckValue(excelVo..ToString()  , "", false, (null, null, ), (false, false, true), (false, false));</v>
      </c>
      <c r="P72" s="1" t="str">
        <f t="shared" si="25"/>
        <v>excelVo. = StringUtil.IsNotEmpty(ExcelUtil.GetCell(sheet, i, j).ToString().TrimEnd())? ExcelUtil.GetCell(sheet, i, j).ToString().TrimEnd().ToUpper():"";j++;//</v>
      </c>
      <c r="Q72" s="1" t="str">
        <f t="shared" si="26"/>
        <v>ExcelUtil.SetContent(sheet, row, column++, (string)item[""]);</v>
      </c>
      <c r="R72" s="1" t="str">
        <f t="shared" si="32"/>
        <v>paramDt.Add("@" ,  );//DECIMAL</v>
      </c>
      <c r="S72" s="1" t="str">
        <f t="shared" si="27"/>
        <v>paramDt.Add("@" , master. );//</v>
      </c>
      <c r="T72" s="1" t="str">
        <f t="shared" si="31"/>
        <v>{ name: '' , sort: '' },</v>
      </c>
      <c r="U72" s="1" t="str">
        <f t="shared" si="29"/>
        <v>"":"",</v>
      </c>
      <c r="V72" s="1" t="str">
        <f t="shared" si="30"/>
        <v>this.vo. = 0 ; //</v>
      </c>
    </row>
    <row r="73" spans="1:22" x14ac:dyDescent="0.4">
      <c r="A73" s="1" t="s">
        <v>119</v>
      </c>
      <c r="D73" s="1" t="s">
        <v>6</v>
      </c>
      <c r="I73" s="1" t="str">
        <f t="shared" si="34"/>
        <v xml:space="preserve">///&lt;summary&gt;
///
///&lt;/summary&gt;
public   {get; set;}
</v>
      </c>
      <c r="J73" s="1" t="str">
        <f t="shared" si="20"/>
        <v xml:space="preserve"> AND t1. = @</v>
      </c>
      <c r="K73" s="1" t="str">
        <f t="shared" si="33"/>
        <v>t1.        AS ,</v>
      </c>
      <c r="L73" s="1" t="str">
        <f t="shared" si="21"/>
        <v>,</v>
      </c>
      <c r="M73" s="1" t="str">
        <f t="shared" si="22"/>
        <v>,@</v>
      </c>
      <c r="N73" s="1" t="str">
        <f t="shared" si="23"/>
        <v xml:space="preserve"> = @, </v>
      </c>
      <c r="O73" s="1" t="str">
        <f t="shared" si="24"/>
        <v>error += ExcelUtil.CheckValue(excelVo..ToString()  , "", false, (null, null, ), (false, false, true), (false, false));</v>
      </c>
      <c r="P73" s="1" t="str">
        <f t="shared" si="25"/>
        <v>excelVo. = StringUtil.IsNotEmpty(ExcelUtil.GetCell(sheet, i, j).ToString().TrimEnd())? ExcelUtil.GetCell(sheet, i, j).ToString().TrimEnd().ToUpper():"";j++;//</v>
      </c>
      <c r="Q73" s="1" t="str">
        <f t="shared" si="26"/>
        <v>ExcelUtil.SetContent(sheet, row, column++, (string)item[""]);</v>
      </c>
      <c r="R73" s="1" t="str">
        <f t="shared" si="32"/>
        <v>paramDt.Add("@" ,  );//DECIMAL</v>
      </c>
      <c r="S73" s="1" t="str">
        <f t="shared" si="27"/>
        <v>paramDt.Add("@" , master. );//</v>
      </c>
      <c r="T73" s="1" t="str">
        <f t="shared" si="31"/>
        <v>{ name: '' , sort: '' },</v>
      </c>
      <c r="U73" s="1" t="str">
        <f t="shared" si="29"/>
        <v>"":"",</v>
      </c>
      <c r="V73" s="1" t="str">
        <f t="shared" si="30"/>
        <v>this.vo. = 0 ; //</v>
      </c>
    </row>
    <row r="74" spans="1:22" x14ac:dyDescent="0.4">
      <c r="A74" s="1" t="s">
        <v>119</v>
      </c>
      <c r="D74" s="1" t="s">
        <v>6</v>
      </c>
      <c r="I74" s="1" t="str">
        <f t="shared" si="34"/>
        <v xml:space="preserve">///&lt;summary&gt;
///
///&lt;/summary&gt;
public   {get; set;}
</v>
      </c>
      <c r="J74" s="1" t="str">
        <f t="shared" si="20"/>
        <v xml:space="preserve"> AND t1. = @</v>
      </c>
      <c r="K74" s="1" t="str">
        <f t="shared" si="33"/>
        <v>t1.        AS ,</v>
      </c>
      <c r="L74" s="1" t="str">
        <f t="shared" si="21"/>
        <v>,</v>
      </c>
      <c r="M74" s="1" t="str">
        <f t="shared" si="22"/>
        <v>,@</v>
      </c>
      <c r="N74" s="1" t="str">
        <f t="shared" si="23"/>
        <v xml:space="preserve"> = @, </v>
      </c>
      <c r="O74" s="1" t="str">
        <f t="shared" si="24"/>
        <v>error += ExcelUtil.CheckValue(excelVo..ToString()  , "", false, (null, null, ), (false, false, true), (false, false));</v>
      </c>
      <c r="P74" s="1" t="str">
        <f t="shared" si="25"/>
        <v>excelVo. = StringUtil.IsNotEmpty(ExcelUtil.GetCell(sheet, i, j).ToString().TrimEnd())? ExcelUtil.GetCell(sheet, i, j).ToString().TrimEnd().ToUpper():"";j++;//</v>
      </c>
      <c r="Q74" s="1" t="str">
        <f t="shared" si="26"/>
        <v>ExcelUtil.SetContent(sheet, row, column++, (string)item[""]);</v>
      </c>
      <c r="R74" s="1" t="str">
        <f t="shared" si="32"/>
        <v>paramDt.Add("@" ,  );//DECIMAL</v>
      </c>
      <c r="S74" s="1" t="str">
        <f t="shared" si="27"/>
        <v>paramDt.Add("@" , master. );//</v>
      </c>
      <c r="T74" s="1" t="str">
        <f t="shared" si="31"/>
        <v>{ name: '' , sort: '' },</v>
      </c>
      <c r="U74" s="1" t="str">
        <f t="shared" si="29"/>
        <v>"":"",</v>
      </c>
      <c r="V74" s="1" t="str">
        <f t="shared" si="30"/>
        <v>this.vo. = 0 ; //</v>
      </c>
    </row>
    <row r="75" spans="1:22" x14ac:dyDescent="0.4">
      <c r="A75" s="1" t="s">
        <v>119</v>
      </c>
      <c r="D75" s="1" t="s">
        <v>6</v>
      </c>
      <c r="I75" s="1" t="str">
        <f t="shared" si="34"/>
        <v xml:space="preserve">///&lt;summary&gt;
///
///&lt;/summary&gt;
public   {get; set;}
</v>
      </c>
      <c r="J75" s="1" t="str">
        <f t="shared" si="20"/>
        <v xml:space="preserve"> AND t1. = @</v>
      </c>
      <c r="K75" s="1" t="str">
        <f t="shared" si="33"/>
        <v>t1.        AS ,</v>
      </c>
      <c r="L75" s="1" t="str">
        <f t="shared" si="21"/>
        <v>,</v>
      </c>
      <c r="M75" s="1" t="str">
        <f t="shared" si="22"/>
        <v>,@</v>
      </c>
      <c r="N75" s="1" t="str">
        <f t="shared" si="23"/>
        <v xml:space="preserve"> = @, </v>
      </c>
      <c r="O75" s="1" t="str">
        <f t="shared" si="24"/>
        <v>error += ExcelUtil.CheckValue(excelVo..ToString()  , "", false, (null, null, ), (false, false, true), (false, false));</v>
      </c>
      <c r="P75" s="1" t="str">
        <f t="shared" si="25"/>
        <v>excelVo. = StringUtil.IsNotEmpty(ExcelUtil.GetCell(sheet, i, j).ToString().TrimEnd())? ExcelUtil.GetCell(sheet, i, j).ToString().TrimEnd().ToUpper():"";j++;//</v>
      </c>
      <c r="Q75" s="1" t="str">
        <f t="shared" si="26"/>
        <v>ExcelUtil.SetContent(sheet, row, column++, (string)item[""]);</v>
      </c>
      <c r="R75" s="1" t="str">
        <f t="shared" si="32"/>
        <v>paramDt.Add("@" ,  );//DECIMAL</v>
      </c>
      <c r="S75" s="1" t="str">
        <f t="shared" si="27"/>
        <v>paramDt.Add("@" , master. );//</v>
      </c>
      <c r="T75" s="1" t="str">
        <f t="shared" si="31"/>
        <v>{ name: '' , sort: '' },</v>
      </c>
      <c r="U75" s="1" t="str">
        <f t="shared" si="29"/>
        <v>"":"",</v>
      </c>
      <c r="V75" s="1" t="str">
        <f t="shared" si="30"/>
        <v>this.vo. = 0 ; //</v>
      </c>
    </row>
    <row r="76" spans="1:22" x14ac:dyDescent="0.4">
      <c r="A76" s="1" t="s">
        <v>119</v>
      </c>
      <c r="D76" s="1" t="s">
        <v>6</v>
      </c>
      <c r="I76" s="1" t="str">
        <f t="shared" si="34"/>
        <v xml:space="preserve">///&lt;summary&gt;
///
///&lt;/summary&gt;
public   {get; set;}
</v>
      </c>
      <c r="J76" s="1" t="str">
        <f t="shared" si="20"/>
        <v xml:space="preserve"> AND t1. = @</v>
      </c>
      <c r="K76" s="1" t="str">
        <f t="shared" si="33"/>
        <v>t1.        AS ,</v>
      </c>
      <c r="L76" s="1" t="str">
        <f t="shared" si="21"/>
        <v>,</v>
      </c>
      <c r="M76" s="1" t="str">
        <f t="shared" si="22"/>
        <v>,@</v>
      </c>
      <c r="N76" s="1" t="str">
        <f t="shared" si="23"/>
        <v xml:space="preserve"> = @, </v>
      </c>
      <c r="O76" s="1" t="str">
        <f t="shared" si="24"/>
        <v>error += ExcelUtil.CheckValue(excelVo..ToString()  , "", false, (null, null, ), (false, false, true), (false, false));</v>
      </c>
      <c r="P76" s="1" t="str">
        <f t="shared" si="25"/>
        <v>excelVo. = StringUtil.IsNotEmpty(ExcelUtil.GetCell(sheet, i, j).ToString().TrimEnd())? ExcelUtil.GetCell(sheet, i, j).ToString().TrimEnd().ToUpper():"";j++;//</v>
      </c>
      <c r="Q76" s="1" t="str">
        <f t="shared" si="26"/>
        <v>ExcelUtil.SetContent(sheet, row, column++, (string)item[""]);</v>
      </c>
      <c r="R76" s="1" t="str">
        <f t="shared" si="32"/>
        <v>paramDt.Add("@" ,  );//DECIMAL</v>
      </c>
      <c r="S76" s="1" t="str">
        <f t="shared" si="27"/>
        <v>paramDt.Add("@" , master. );//</v>
      </c>
      <c r="T76" s="1" t="str">
        <f t="shared" si="31"/>
        <v>{ name: '' , sort: '' },</v>
      </c>
      <c r="U76" s="1" t="str">
        <f t="shared" si="29"/>
        <v>"":"",</v>
      </c>
      <c r="V76" s="1" t="str">
        <f t="shared" si="30"/>
        <v>this.vo. = 0 ; //</v>
      </c>
    </row>
    <row r="77" spans="1:22" x14ac:dyDescent="0.4">
      <c r="A77" s="1" t="s">
        <v>119</v>
      </c>
      <c r="D77" s="1" t="s">
        <v>6</v>
      </c>
      <c r="I77" s="1" t="str">
        <f t="shared" si="34"/>
        <v xml:space="preserve">///&lt;summary&gt;
///
///&lt;/summary&gt;
public   {get; set;}
</v>
      </c>
      <c r="J77" s="1" t="str">
        <f t="shared" si="20"/>
        <v xml:space="preserve"> AND t1. = @</v>
      </c>
      <c r="K77" s="1" t="str">
        <f t="shared" si="33"/>
        <v>t1.        AS ,</v>
      </c>
      <c r="L77" s="1" t="str">
        <f t="shared" si="21"/>
        <v>,</v>
      </c>
      <c r="M77" s="1" t="str">
        <f t="shared" si="22"/>
        <v>,@</v>
      </c>
      <c r="N77" s="1" t="str">
        <f t="shared" si="23"/>
        <v xml:space="preserve"> = @, </v>
      </c>
      <c r="O77" s="1" t="str">
        <f t="shared" si="24"/>
        <v>error += ExcelUtil.CheckValue(excelVo..ToString()  , "", false, (null, null, ), (false, false, true), (false, false));</v>
      </c>
      <c r="P77" s="1" t="str">
        <f t="shared" si="25"/>
        <v>excelVo. = StringUtil.IsNotEmpty(ExcelUtil.GetCell(sheet, i, j).ToString().TrimEnd())? ExcelUtil.GetCell(sheet, i, j).ToString().TrimEnd().ToUpper():"";j++;//</v>
      </c>
      <c r="Q77" s="1" t="str">
        <f t="shared" si="26"/>
        <v>ExcelUtil.SetContent(sheet, row, column++, (string)item[""]);</v>
      </c>
      <c r="R77" s="1" t="str">
        <f t="shared" si="32"/>
        <v>paramDt.Add("@" ,  );//DECIMAL</v>
      </c>
      <c r="S77" s="1" t="str">
        <f t="shared" si="27"/>
        <v>paramDt.Add("@" , master. );//</v>
      </c>
      <c r="T77" s="1" t="str">
        <f t="shared" si="31"/>
        <v>{ name: '' , sort: '' },</v>
      </c>
      <c r="U77" s="1" t="str">
        <f t="shared" si="29"/>
        <v>"":"",</v>
      </c>
      <c r="V77" s="1" t="str">
        <f t="shared" si="30"/>
        <v>this.vo. = 0 ; //</v>
      </c>
    </row>
    <row r="78" spans="1:22" x14ac:dyDescent="0.4">
      <c r="A78" s="1" t="s">
        <v>119</v>
      </c>
      <c r="D78" s="1" t="s">
        <v>6</v>
      </c>
      <c r="I78" s="1" t="str">
        <f t="shared" si="34"/>
        <v xml:space="preserve">///&lt;summary&gt;
///
///&lt;/summary&gt;
public   {get; set;}
</v>
      </c>
      <c r="J78" s="1" t="str">
        <f t="shared" si="20"/>
        <v xml:space="preserve"> AND t1. = @</v>
      </c>
      <c r="K78" s="1" t="str">
        <f t="shared" si="33"/>
        <v>t1.        AS ,</v>
      </c>
      <c r="L78" s="1" t="str">
        <f t="shared" si="21"/>
        <v>,</v>
      </c>
      <c r="M78" s="1" t="str">
        <f t="shared" si="22"/>
        <v>,@</v>
      </c>
      <c r="N78" s="1" t="str">
        <f t="shared" si="23"/>
        <v xml:space="preserve"> = @, </v>
      </c>
      <c r="O78" s="1" t="str">
        <f t="shared" si="24"/>
        <v>error += ExcelUtil.CheckValue(excelVo..ToString()  , "", false, (null, null, ), (false, false, true), (false, false));</v>
      </c>
      <c r="P78" s="1" t="str">
        <f t="shared" si="25"/>
        <v>excelVo. = StringUtil.IsNotEmpty(ExcelUtil.GetCell(sheet, i, j).ToString().TrimEnd())? ExcelUtil.GetCell(sheet, i, j).ToString().TrimEnd().ToUpper():"";j++;//</v>
      </c>
      <c r="Q78" s="1" t="str">
        <f t="shared" si="26"/>
        <v>ExcelUtil.SetContent(sheet, row, column++, (string)item[""]);</v>
      </c>
      <c r="R78" s="1" t="str">
        <f t="shared" si="32"/>
        <v>paramDt.Add("@" ,  );//DECIMAL</v>
      </c>
      <c r="S78" s="1" t="str">
        <f t="shared" si="27"/>
        <v>paramDt.Add("@" , master. );//</v>
      </c>
      <c r="T78" s="1" t="str">
        <f t="shared" si="31"/>
        <v>{ name: '' , sort: '' },</v>
      </c>
      <c r="U78" s="1" t="str">
        <f t="shared" si="29"/>
        <v>"":"",</v>
      </c>
      <c r="V78" s="1" t="str">
        <f t="shared" si="30"/>
        <v>this.vo. = 0 ; //</v>
      </c>
    </row>
    <row r="79" spans="1:22" x14ac:dyDescent="0.4">
      <c r="A79" s="1" t="s">
        <v>119</v>
      </c>
      <c r="D79" s="1" t="s">
        <v>5</v>
      </c>
      <c r="I79" s="1" t="str">
        <f t="shared" si="34"/>
        <v xml:space="preserve">///&lt;summary&gt;
///
///&lt;/summary&gt;
public   {get; set;}
</v>
      </c>
      <c r="J79" s="1" t="str">
        <f t="shared" si="20"/>
        <v xml:space="preserve"> AND t1. = @</v>
      </c>
      <c r="K79" s="1" t="str">
        <f t="shared" si="33"/>
        <v>t1.        AS ,</v>
      </c>
      <c r="L79" s="1" t="str">
        <f t="shared" si="21"/>
        <v>,</v>
      </c>
      <c r="M79" s="1" t="str">
        <f t="shared" si="22"/>
        <v>,@</v>
      </c>
      <c r="N79" s="1" t="str">
        <f t="shared" si="23"/>
        <v xml:space="preserve"> = @, </v>
      </c>
      <c r="O79" s="1" t="str">
        <f t="shared" si="24"/>
        <v>error += ExcelUtil.CheckValue(excelVo. , "", false, (null, null, ), (true, false, false), (false, false));</v>
      </c>
      <c r="P79" s="1" t="str">
        <f t="shared" si="25"/>
        <v>excelVo. = StringUtil.IsNotEmpty(ExcelUtil.GetCell(sheet, i, j).ToString().TrimEnd())? ExcelUtil.GetCell(sheet, i, j).ToString().TrimEnd().ToUpper():"";j++;//</v>
      </c>
      <c r="Q79" s="1" t="str">
        <f t="shared" si="26"/>
        <v>ExcelUtil.SetContent(sheet, row, column++, (string)item[""]);</v>
      </c>
      <c r="R79" s="1" t="str">
        <f t="shared" si="32"/>
        <v>paramDt.Add("@" ,  );//VARCHAR</v>
      </c>
      <c r="S79" s="1" t="str">
        <f t="shared" si="27"/>
        <v>paramDt.Add("@" , master. );//</v>
      </c>
      <c r="T79" s="1" t="str">
        <f t="shared" si="31"/>
        <v>{ name: '' , sort: '' },</v>
      </c>
      <c r="U79" s="1" t="str">
        <f t="shared" si="29"/>
        <v>"":"",</v>
      </c>
      <c r="V79" s="1" t="str">
        <f t="shared" si="30"/>
        <v>this.vo. = '' ; //</v>
      </c>
    </row>
    <row r="80" spans="1:22" x14ac:dyDescent="0.4">
      <c r="A80" s="1" t="s">
        <v>119</v>
      </c>
      <c r="D80" s="1" t="s">
        <v>5</v>
      </c>
      <c r="I80" s="1" t="str">
        <f t="shared" si="34"/>
        <v xml:space="preserve">///&lt;summary&gt;
///
///&lt;/summary&gt;
public   {get; set;}
</v>
      </c>
      <c r="J80" s="1" t="str">
        <f t="shared" si="20"/>
        <v xml:space="preserve"> AND t1. = @</v>
      </c>
      <c r="K80" s="1" t="str">
        <f t="shared" si="33"/>
        <v>t1.        AS ,</v>
      </c>
      <c r="L80" s="1" t="str">
        <f t="shared" si="21"/>
        <v>,</v>
      </c>
      <c r="M80" s="1" t="str">
        <f t="shared" si="22"/>
        <v>,@</v>
      </c>
      <c r="N80" s="1" t="str">
        <f t="shared" si="23"/>
        <v xml:space="preserve"> = @, </v>
      </c>
      <c r="O80" s="1" t="str">
        <f t="shared" si="24"/>
        <v>error += ExcelUtil.CheckValue(excelVo. , "", false, (null, null, ), (true, false, false), (false, false));</v>
      </c>
      <c r="P80" s="1" t="str">
        <f t="shared" si="25"/>
        <v>excelVo. = StringUtil.IsNotEmpty(ExcelUtil.GetCell(sheet, i, j).ToString().TrimEnd())? ExcelUtil.GetCell(sheet, i, j).ToString().TrimEnd().ToUpper():"";j++;//</v>
      </c>
      <c r="Q80" s="1" t="str">
        <f t="shared" si="26"/>
        <v>ExcelUtil.SetContent(sheet, row, column++, (string)item[""]);</v>
      </c>
      <c r="R80" s="1" t="str">
        <f t="shared" si="32"/>
        <v>paramDt.Add("@" ,  );//VARCHAR</v>
      </c>
      <c r="S80" s="1" t="str">
        <f t="shared" si="27"/>
        <v>paramDt.Add("@" , master. );//</v>
      </c>
      <c r="T80" s="1" t="str">
        <f t="shared" si="31"/>
        <v>{ name: '' , sort: '' },</v>
      </c>
      <c r="U80" s="1" t="str">
        <f t="shared" si="29"/>
        <v>"":"",</v>
      </c>
      <c r="V80" s="1" t="str">
        <f t="shared" si="30"/>
        <v>this.vo. = '' ; //</v>
      </c>
    </row>
    <row r="81" spans="1:22" x14ac:dyDescent="0.4">
      <c r="A81" s="1" t="s">
        <v>119</v>
      </c>
      <c r="D81" s="1" t="s">
        <v>5</v>
      </c>
      <c r="I81" s="1" t="str">
        <f t="shared" si="34"/>
        <v xml:space="preserve">///&lt;summary&gt;
///
///&lt;/summary&gt;
public   {get; set;}
</v>
      </c>
      <c r="J81" s="1" t="str">
        <f t="shared" si="20"/>
        <v xml:space="preserve"> AND t1. = @</v>
      </c>
      <c r="K81" s="1" t="str">
        <f t="shared" si="33"/>
        <v>t1.        AS ,</v>
      </c>
      <c r="L81" s="1" t="str">
        <f t="shared" si="21"/>
        <v>,</v>
      </c>
      <c r="M81" s="1" t="str">
        <f t="shared" si="22"/>
        <v>,@</v>
      </c>
      <c r="N81" s="1" t="str">
        <f t="shared" si="23"/>
        <v xml:space="preserve"> = @, </v>
      </c>
      <c r="O81" s="1" t="str">
        <f t="shared" si="24"/>
        <v>error += ExcelUtil.CheckValue(excelVo. , "", false, (null, null, ), (true, false, false), (false, false));</v>
      </c>
      <c r="P81" s="1" t="str">
        <f t="shared" si="25"/>
        <v>excelVo. = StringUtil.IsNotEmpty(ExcelUtil.GetCell(sheet, i, j).ToString().TrimEnd())? ExcelUtil.GetCell(sheet, i, j).ToString().TrimEnd().ToUpper():"";j++;//</v>
      </c>
      <c r="Q81" s="1" t="str">
        <f t="shared" si="26"/>
        <v>ExcelUtil.SetContent(sheet, row, column++, (string)item[""]);</v>
      </c>
      <c r="R81" s="1" t="str">
        <f t="shared" si="32"/>
        <v>paramDt.Add("@" ,  );//VARCHAR</v>
      </c>
      <c r="S81" s="1" t="str">
        <f t="shared" si="27"/>
        <v>paramDt.Add("@" , master. );//</v>
      </c>
      <c r="T81" s="1" t="str">
        <f t="shared" si="31"/>
        <v>{ name: '' , sort: '' },</v>
      </c>
      <c r="U81" s="1" t="str">
        <f t="shared" si="29"/>
        <v>"":"",</v>
      </c>
      <c r="V81" s="1" t="str">
        <f t="shared" si="30"/>
        <v>this.vo. = '' ; //</v>
      </c>
    </row>
    <row r="82" spans="1:22" x14ac:dyDescent="0.4">
      <c r="A82" s="1" t="s">
        <v>119</v>
      </c>
      <c r="D82" s="1" t="s">
        <v>5</v>
      </c>
      <c r="I82" s="1" t="str">
        <f t="shared" si="34"/>
        <v xml:space="preserve">///&lt;summary&gt;
///
///&lt;/summary&gt;
public   {get; set;}
</v>
      </c>
      <c r="J82" s="1" t="str">
        <f t="shared" si="20"/>
        <v xml:space="preserve"> AND t1. = @</v>
      </c>
      <c r="K82" s="1" t="str">
        <f t="shared" si="33"/>
        <v>t1.        AS ,</v>
      </c>
      <c r="L82" s="1" t="str">
        <f t="shared" si="21"/>
        <v>,</v>
      </c>
      <c r="M82" s="1" t="str">
        <f t="shared" si="22"/>
        <v>,@</v>
      </c>
      <c r="N82" s="1" t="str">
        <f t="shared" si="23"/>
        <v xml:space="preserve"> = @, </v>
      </c>
      <c r="O82" s="1" t="str">
        <f t="shared" si="24"/>
        <v>error += ExcelUtil.CheckValue(excelVo. , "", false, (null, null, ), (true, false, false), (false, false));</v>
      </c>
      <c r="P82" s="1" t="str">
        <f t="shared" si="25"/>
        <v>excelVo. = StringUtil.IsNotEmpty(ExcelUtil.GetCell(sheet, i, j).ToString().TrimEnd())? ExcelUtil.GetCell(sheet, i, j).ToString().TrimEnd().ToUpper():"";j++;//</v>
      </c>
      <c r="Q82" s="1" t="str">
        <f t="shared" si="26"/>
        <v>ExcelUtil.SetContent(sheet, row, column++, (string)item[""]);</v>
      </c>
      <c r="R82" s="1" t="str">
        <f t="shared" si="32"/>
        <v>paramDt.Add("@" ,  );//VARCHAR</v>
      </c>
      <c r="S82" s="1" t="str">
        <f t="shared" si="27"/>
        <v>paramDt.Add("@" , master. );//</v>
      </c>
      <c r="T82" s="1" t="str">
        <f t="shared" si="31"/>
        <v>{ name: '' , sort: '' },</v>
      </c>
      <c r="U82" s="1" t="str">
        <f t="shared" si="29"/>
        <v>"":"",</v>
      </c>
      <c r="V82" s="1" t="str">
        <f t="shared" si="30"/>
        <v>this.vo. = '' ; //</v>
      </c>
    </row>
    <row r="83" spans="1:22" x14ac:dyDescent="0.4">
      <c r="A83" s="1" t="s">
        <v>119</v>
      </c>
      <c r="D83" s="1" t="s">
        <v>5</v>
      </c>
      <c r="I83" s="1" t="str">
        <f t="shared" si="34"/>
        <v xml:space="preserve">///&lt;summary&gt;
///
///&lt;/summary&gt;
public   {get; set;}
</v>
      </c>
      <c r="J83" s="1" t="str">
        <f t="shared" si="20"/>
        <v xml:space="preserve"> AND t1. = @</v>
      </c>
      <c r="K83" s="1" t="str">
        <f t="shared" si="33"/>
        <v>t1.        AS ,</v>
      </c>
      <c r="L83" s="1" t="str">
        <f t="shared" si="21"/>
        <v>,</v>
      </c>
      <c r="M83" s="1" t="str">
        <f t="shared" si="22"/>
        <v>,@</v>
      </c>
      <c r="N83" s="1" t="str">
        <f t="shared" si="23"/>
        <v xml:space="preserve"> = @, </v>
      </c>
      <c r="O83" s="1" t="str">
        <f t="shared" si="24"/>
        <v>error += ExcelUtil.CheckValue(excelVo. , "", false, (null, null, ), (true, false, false), (false, false));</v>
      </c>
      <c r="P83" s="1" t="str">
        <f t="shared" si="25"/>
        <v>excelVo. = StringUtil.IsNotEmpty(ExcelUtil.GetCell(sheet, i, j).ToString().TrimEnd())? ExcelUtil.GetCell(sheet, i, j).ToString().TrimEnd().ToUpper():"";j++;//</v>
      </c>
      <c r="Q83" s="1" t="str">
        <f t="shared" si="26"/>
        <v>ExcelUtil.SetContent(sheet, row, column++, (string)item[""]);</v>
      </c>
      <c r="R83" s="1" t="str">
        <f t="shared" si="32"/>
        <v>paramDt.Add("@" ,  );//VARCHAR</v>
      </c>
      <c r="S83" s="1" t="str">
        <f t="shared" si="27"/>
        <v>paramDt.Add("@" , master. );//</v>
      </c>
      <c r="T83" s="1" t="str">
        <f t="shared" si="31"/>
        <v>{ name: '' , sort: '' },</v>
      </c>
      <c r="U83" s="1" t="str">
        <f t="shared" si="29"/>
        <v>"":"",</v>
      </c>
      <c r="V83" s="1" t="str">
        <f t="shared" si="30"/>
        <v>this.vo. = '' ; //</v>
      </c>
    </row>
    <row r="84" spans="1:22" x14ac:dyDescent="0.4">
      <c r="A84" s="1" t="s">
        <v>119</v>
      </c>
      <c r="D84" s="1" t="s">
        <v>5</v>
      </c>
      <c r="I84" s="1" t="str">
        <f t="shared" si="34"/>
        <v xml:space="preserve">///&lt;summary&gt;
///
///&lt;/summary&gt;
public   {get; set;}
</v>
      </c>
      <c r="J84" s="1" t="str">
        <f t="shared" si="20"/>
        <v xml:space="preserve"> AND t1. = @</v>
      </c>
      <c r="K84" s="1" t="str">
        <f t="shared" si="33"/>
        <v>t1.        AS ,</v>
      </c>
      <c r="L84" s="1" t="str">
        <f t="shared" si="21"/>
        <v>,</v>
      </c>
      <c r="M84" s="1" t="str">
        <f t="shared" si="22"/>
        <v>,@</v>
      </c>
      <c r="N84" s="1" t="str">
        <f t="shared" si="23"/>
        <v xml:space="preserve"> = @, </v>
      </c>
      <c r="O84" s="1" t="str">
        <f t="shared" si="24"/>
        <v>error += ExcelUtil.CheckValue(excelVo. , "", false, (null, null, ), (true, false, false), (false, false));</v>
      </c>
      <c r="P84" s="1" t="str">
        <f t="shared" si="25"/>
        <v>excelVo. = StringUtil.IsNotEmpty(ExcelUtil.GetCell(sheet, i, j).ToString().TrimEnd())? ExcelUtil.GetCell(sheet, i, j).ToString().TrimEnd().ToUpper():"";j++;//</v>
      </c>
      <c r="Q84" s="1" t="str">
        <f t="shared" si="26"/>
        <v>ExcelUtil.SetContent(sheet, row, column++, (string)item[""]);</v>
      </c>
      <c r="R84" s="1" t="str">
        <f t="shared" si="32"/>
        <v>paramDt.Add("@" ,  );//VARCHAR</v>
      </c>
      <c r="S84" s="1" t="str">
        <f t="shared" si="27"/>
        <v>paramDt.Add("@" , master. );//</v>
      </c>
      <c r="T84" s="1" t="str">
        <f t="shared" si="31"/>
        <v>{ name: '' , sort: '' },</v>
      </c>
      <c r="U84" s="1" t="str">
        <f t="shared" si="29"/>
        <v>"":"",</v>
      </c>
      <c r="V84" s="1" t="str">
        <f t="shared" si="30"/>
        <v>this.vo. = '' ; //</v>
      </c>
    </row>
    <row r="85" spans="1:22" x14ac:dyDescent="0.4">
      <c r="A85" s="1" t="s">
        <v>119</v>
      </c>
      <c r="D85" s="1" t="s">
        <v>5</v>
      </c>
      <c r="I85" s="1" t="str">
        <f t="shared" si="34"/>
        <v xml:space="preserve">///&lt;summary&gt;
///
///&lt;/summary&gt;
public   {get; set;}
</v>
      </c>
      <c r="J85" s="1" t="str">
        <f t="shared" ref="J85:J88" si="35">" AND t1."&amp;B85&amp;" = "&amp;"@"&amp;B85</f>
        <v xml:space="preserve"> AND t1. = @</v>
      </c>
      <c r="K85" s="1" t="str">
        <f t="shared" ref="K85:K88" si="36">"t1."&amp;B85&amp;"        "&amp;"AS "&amp;G85&amp;","</f>
        <v>t1.        AS ,</v>
      </c>
      <c r="L85" s="1" t="str">
        <f t="shared" ref="L85:L88" si="37">","&amp; B85</f>
        <v>,</v>
      </c>
      <c r="M85" s="1" t="str">
        <f t="shared" ref="M85:M88" si="38">",@"&amp;B85</f>
        <v>,@</v>
      </c>
      <c r="N85" s="1" t="str">
        <f t="shared" ref="N85:N88" si="39">B85&amp;" = "&amp;"@"&amp;B85&amp;", "</f>
        <v xml:space="preserve"> = @, </v>
      </c>
      <c r="O85" s="1" t="str">
        <f t="shared" si="24"/>
        <v>error += ExcelUtil.CheckValue(excelVo. , "", false, (null, null, ), (true, false, false), (false, false));</v>
      </c>
      <c r="P85" s="1" t="str">
        <f t="shared" si="25"/>
        <v>excelVo. = StringUtil.IsNotEmpty(ExcelUtil.GetCell(sheet, i, j).ToString().TrimEnd())? ExcelUtil.GetCell(sheet, i, j).ToString().TrimEnd().ToUpper():"";j++;//</v>
      </c>
      <c r="Q85" s="1" t="str">
        <f t="shared" si="26"/>
        <v>ExcelUtil.SetContent(sheet, row, column++, (string)item[""]);</v>
      </c>
      <c r="R85" s="1" t="str">
        <f t="shared" si="32"/>
        <v>paramDt.Add("@" ,  );//VARCHAR</v>
      </c>
      <c r="S85" s="1" t="str">
        <f t="shared" si="27"/>
        <v>paramDt.Add("@" , master. );//</v>
      </c>
      <c r="T85" s="1" t="str">
        <f t="shared" si="31"/>
        <v>{ name: '' , sort: '' },</v>
      </c>
      <c r="U85" s="1" t="str">
        <f t="shared" si="29"/>
        <v>"":"",</v>
      </c>
      <c r="V85" s="1" t="str">
        <f t="shared" si="30"/>
        <v>this.vo. = '' ; //</v>
      </c>
    </row>
    <row r="86" spans="1:22" x14ac:dyDescent="0.4">
      <c r="A86" s="1" t="s">
        <v>119</v>
      </c>
      <c r="D86" s="1" t="s">
        <v>5</v>
      </c>
      <c r="I86" s="1" t="str">
        <f t="shared" ref="I86:I88" si="40">"///&lt;summary&gt;"&amp;CHAR(10)&amp;"///"&amp;TRIM(C86)&amp;CHAR(10)&amp;"///&lt;/summary&gt;"&amp;CHAR(10)&amp;"public "&amp;H86&amp;" " &amp;TRIM(C86)&amp;" {get; set;}"&amp;CHAR(10)</f>
        <v xml:space="preserve">///&lt;summary&gt;
///
///&lt;/summary&gt;
public   {get; set;}
</v>
      </c>
      <c r="J86" s="1" t="str">
        <f t="shared" si="35"/>
        <v xml:space="preserve"> AND t1. = @</v>
      </c>
      <c r="K86" s="1" t="str">
        <f t="shared" si="36"/>
        <v>t1.        AS ,</v>
      </c>
      <c r="L86" s="1" t="str">
        <f t="shared" si="37"/>
        <v>,</v>
      </c>
      <c r="M86" s="1" t="str">
        <f t="shared" si="38"/>
        <v>,@</v>
      </c>
      <c r="N86" s="1" t="str">
        <f t="shared" si="39"/>
        <v xml:space="preserve"> = @, </v>
      </c>
      <c r="O86" s="1" t="str">
        <f t="shared" ref="O86:O88" si="41">"error += ExcelUtil.CheckValue("&amp; IF(LOWER(D86)="decimal","excelVo."&amp;G86&amp;".ToString() ","excelVo."&amp;G86)  &amp;" , "&amp; """" &amp; TRIM(C86)&amp;""""&amp;", false, (null, null, "&amp;E86&amp;"), ("&amp;IF(LOWER(D86)="decimal","false","true")&amp;", false, "&amp;IF(LOWER(D86)="decimal","true","false")&amp;"), (false, false));"</f>
        <v>error += ExcelUtil.CheckValue(excelVo. , "", false, (null, null, ), (true, false, false), (false, false));</v>
      </c>
      <c r="P86" s="1" t="str">
        <f t="shared" ref="P86:P88" si="42">"excelVo."&amp; G86&amp; " = StringUtil.IsNotEmpty(ExcelUtil.GetCell(sheet, i, j).ToString().TrimEnd())? ExcelUtil.GetCell(sheet, i, j).ToString().TrimEnd().ToUpper():"&amp; """" &amp; """" &amp;";j++;" &amp;"//"&amp;C86</f>
        <v>excelVo. = StringUtil.IsNotEmpty(ExcelUtil.GetCell(sheet, i, j).ToString().TrimEnd())? ExcelUtil.GetCell(sheet, i, j).ToString().TrimEnd().ToUpper():"";j++;//</v>
      </c>
      <c r="Q86" s="1" t="str">
        <f t="shared" ref="Q86:Q88" si="43">"ExcelUtil.SetContent(sheet, row, column++, (string)item["&amp;""""&amp;F86 &amp;""""&amp;"]);"</f>
        <v>ExcelUtil.SetContent(sheet, row, column++, (string)item[""]);</v>
      </c>
      <c r="R86" s="1" t="str">
        <f t="shared" ref="R86:R88" si="44">"paramDt.Add("&amp; """" &amp;"@"&amp; B86&amp; """" &amp;" , "&amp; G86 &amp;" );//"&amp;D86</f>
        <v>paramDt.Add("@" ,  );//VARCHAR</v>
      </c>
      <c r="S86" s="1" t="str">
        <f t="shared" ref="S86:S88" si="45">"paramDt.Add("&amp; """" &amp;"@"&amp; B86&amp; """" &amp;" , master."&amp; G86 &amp;" );//"&amp;C86</f>
        <v>paramDt.Add("@" , master. );//</v>
      </c>
      <c r="T86" s="1" t="str">
        <f t="shared" si="31"/>
        <v>{ name: '' , sort: '' },</v>
      </c>
      <c r="U86" s="1" t="str">
        <f t="shared" ref="U86:U88" si="46">""""&amp;F86&amp;""""&amp;":"&amp;""""&amp;TRIM(C86)&amp;""""&amp;","</f>
        <v>"":"",</v>
      </c>
      <c r="V86" s="1" t="str">
        <f t="shared" ref="V86:V88" si="47">IF(LOWER(D86)="decimal","this.vo."&amp;F86&amp;" = "&amp;0,"this.vo."&amp;F86&amp;" = ''")&amp;" ; //"&amp;TRIM(C86)</f>
        <v>this.vo. = '' ; //</v>
      </c>
    </row>
    <row r="87" spans="1:22" x14ac:dyDescent="0.4">
      <c r="A87" s="1" t="s">
        <v>119</v>
      </c>
      <c r="D87" s="1" t="s">
        <v>5</v>
      </c>
      <c r="I87" s="1" t="str">
        <f t="shared" si="40"/>
        <v xml:space="preserve">///&lt;summary&gt;
///
///&lt;/summary&gt;
public   {get; set;}
</v>
      </c>
      <c r="J87" s="1" t="str">
        <f t="shared" si="35"/>
        <v xml:space="preserve"> AND t1. = @</v>
      </c>
      <c r="K87" s="1" t="str">
        <f t="shared" si="36"/>
        <v>t1.        AS ,</v>
      </c>
      <c r="L87" s="1" t="str">
        <f t="shared" si="37"/>
        <v>,</v>
      </c>
      <c r="M87" s="1" t="str">
        <f t="shared" si="38"/>
        <v>,@</v>
      </c>
      <c r="N87" s="1" t="str">
        <f t="shared" si="39"/>
        <v xml:space="preserve"> = @, </v>
      </c>
      <c r="O87" s="1" t="str">
        <f t="shared" si="41"/>
        <v>error += ExcelUtil.CheckValue(excelVo. , "", false, (null, null, ), (true, false, false), (false, false));</v>
      </c>
      <c r="P87" s="1" t="str">
        <f t="shared" si="42"/>
        <v>excelVo. = StringUtil.IsNotEmpty(ExcelUtil.GetCell(sheet, i, j).ToString().TrimEnd())? ExcelUtil.GetCell(sheet, i, j).ToString().TrimEnd().ToUpper():"";j++;//</v>
      </c>
      <c r="Q87" s="1" t="str">
        <f t="shared" si="43"/>
        <v>ExcelUtil.SetContent(sheet, row, column++, (string)item[""]);</v>
      </c>
      <c r="R87" s="1" t="str">
        <f t="shared" si="44"/>
        <v>paramDt.Add("@" ,  );//VARCHAR</v>
      </c>
      <c r="S87" s="1" t="str">
        <f t="shared" si="45"/>
        <v>paramDt.Add("@" , master. );//</v>
      </c>
      <c r="T87" s="1" t="str">
        <f t="shared" si="31"/>
        <v>{ name: '' , sort: '' },</v>
      </c>
      <c r="U87" s="1" t="str">
        <f t="shared" si="46"/>
        <v>"":"",</v>
      </c>
      <c r="V87" s="1" t="str">
        <f t="shared" si="47"/>
        <v>this.vo. = '' ; //</v>
      </c>
    </row>
    <row r="88" spans="1:22" x14ac:dyDescent="0.4">
      <c r="A88" s="1" t="s">
        <v>119</v>
      </c>
      <c r="D88" s="1" t="s">
        <v>5</v>
      </c>
      <c r="I88" s="1" t="str">
        <f t="shared" si="40"/>
        <v xml:space="preserve">///&lt;summary&gt;
///
///&lt;/summary&gt;
public   {get; set;}
</v>
      </c>
      <c r="J88" s="1" t="str">
        <f t="shared" si="35"/>
        <v xml:space="preserve"> AND t1. = @</v>
      </c>
      <c r="K88" s="1" t="str">
        <f t="shared" si="36"/>
        <v>t1.        AS ,</v>
      </c>
      <c r="L88" s="1" t="str">
        <f t="shared" si="37"/>
        <v>,</v>
      </c>
      <c r="M88" s="1" t="str">
        <f t="shared" si="38"/>
        <v>,@</v>
      </c>
      <c r="N88" s="1" t="str">
        <f t="shared" si="39"/>
        <v xml:space="preserve"> = @, </v>
      </c>
      <c r="O88" s="1" t="str">
        <f t="shared" si="41"/>
        <v>error += ExcelUtil.CheckValue(excelVo. , "", false, (null, null, ), (true, false, false), (false, false));</v>
      </c>
      <c r="P88" s="1" t="str">
        <f t="shared" si="42"/>
        <v>excelVo. = StringUtil.IsNotEmpty(ExcelUtil.GetCell(sheet, i, j).ToString().TrimEnd())? ExcelUtil.GetCell(sheet, i, j).ToString().TrimEnd().ToUpper():"";j++;//</v>
      </c>
      <c r="Q88" s="1" t="str">
        <f t="shared" si="43"/>
        <v>ExcelUtil.SetContent(sheet, row, column++, (string)item[""]);</v>
      </c>
      <c r="R88" s="1" t="str">
        <f t="shared" si="44"/>
        <v>paramDt.Add("@" ,  );//VARCHAR</v>
      </c>
      <c r="S88" s="1" t="str">
        <f t="shared" si="45"/>
        <v>paramDt.Add("@" , master. );//</v>
      </c>
      <c r="T88" s="1" t="str">
        <f t="shared" si="31"/>
        <v>{ name: '' , sort: '' },</v>
      </c>
      <c r="U88" s="1" t="str">
        <f t="shared" si="46"/>
        <v>"":"",</v>
      </c>
      <c r="V88" s="1" t="str">
        <f t="shared" si="47"/>
        <v>this.vo. = '' ; //</v>
      </c>
    </row>
    <row r="89" spans="1:22" x14ac:dyDescent="0.4">
      <c r="D89" s="1" t="s">
        <v>6</v>
      </c>
    </row>
    <row r="90" spans="1:22" x14ac:dyDescent="0.4">
      <c r="D90" s="1" t="s">
        <v>5</v>
      </c>
    </row>
    <row r="91" spans="1:22" x14ac:dyDescent="0.4">
      <c r="D91" s="1" t="s">
        <v>6</v>
      </c>
    </row>
    <row r="92" spans="1:22" x14ac:dyDescent="0.4">
      <c r="D92" s="1" t="s">
        <v>5</v>
      </c>
    </row>
    <row r="93" spans="1:22" x14ac:dyDescent="0.4">
      <c r="D93" s="1" t="s">
        <v>5</v>
      </c>
    </row>
    <row r="94" spans="1:22" x14ac:dyDescent="0.4">
      <c r="D94" s="1" t="s">
        <v>5</v>
      </c>
    </row>
    <row r="95" spans="1:22" x14ac:dyDescent="0.4">
      <c r="D95" s="1" t="s">
        <v>5</v>
      </c>
    </row>
    <row r="96" spans="1:22" x14ac:dyDescent="0.4">
      <c r="D96" s="1" t="s">
        <v>5</v>
      </c>
    </row>
    <row r="97" spans="4:4" x14ac:dyDescent="0.4">
      <c r="D97" s="1" t="s">
        <v>9</v>
      </c>
    </row>
    <row r="98" spans="4:4" x14ac:dyDescent="0.4">
      <c r="D98" s="1" t="s">
        <v>5</v>
      </c>
    </row>
    <row r="99" spans="4:4" x14ac:dyDescent="0.4">
      <c r="D99" s="1" t="s">
        <v>9</v>
      </c>
    </row>
    <row r="100" spans="4:4" x14ac:dyDescent="0.4">
      <c r="D100" s="1" t="s">
        <v>5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926E-C560-4704-8C2D-4F732484C0C0}">
  <dimension ref="A1:AF100"/>
  <sheetViews>
    <sheetView zoomScaleNormal="100" workbookViewId="0">
      <selection activeCell="A5" sqref="A5"/>
    </sheetView>
  </sheetViews>
  <sheetFormatPr defaultColWidth="11.453125" defaultRowHeight="13.5" x14ac:dyDescent="0.4"/>
  <cols>
    <col min="1" max="1" width="30" style="1" customWidth="1"/>
    <col min="2" max="2" width="11.453125" style="1"/>
    <col min="3" max="3" width="36" style="1" customWidth="1"/>
    <col min="4" max="4" width="11.453125" style="1"/>
    <col min="5" max="5" width="9" style="1" customWidth="1"/>
    <col min="6" max="8" width="11.453125" style="1"/>
    <col min="9" max="9" width="21.08984375" style="1" customWidth="1"/>
    <col min="10" max="13" width="11.453125" style="1"/>
    <col min="14" max="15" width="9.36328125" style="1" customWidth="1"/>
    <col min="16" max="16" width="16" style="1" customWidth="1"/>
    <col min="17" max="17" width="11.453125" style="1"/>
    <col min="18" max="18" width="28" style="1" customWidth="1"/>
    <col min="19" max="19" width="30.54296875" style="1" customWidth="1"/>
    <col min="20" max="20" width="35.08984375" style="1" customWidth="1"/>
    <col min="21" max="16384" width="11.453125" style="1"/>
  </cols>
  <sheetData>
    <row r="1" spans="1:32" x14ac:dyDescent="0.4">
      <c r="G1" s="1" t="s">
        <v>18</v>
      </c>
    </row>
    <row r="2" spans="1:32" x14ac:dyDescent="0.4">
      <c r="G2" s="1" t="s">
        <v>17</v>
      </c>
      <c r="H2" s="1" t="e">
        <f>" AND t1."&amp;B5&amp;" = "&amp;"@"&amp;B5&amp;CHAR(10)&amp;" AND t1."&amp;B6&amp;" = "&amp;"@"&amp;B6&amp;CHAR(10)&amp;" AND t1."&amp;B7&amp;" = "&amp;"@"&amp;B7&amp;CHAR(10)&amp;" AND t1."&amp;B8&amp;" = "&amp;"@"&amp;B8&amp;CHAR(10)&amp;" AND t1."&amp;B9&amp;" = "&amp;"@"&amp;B9&amp;CHAR(10)&amp;" AND t1."&amp;B10&amp;" = "&amp;"@"&amp;B10&amp;CHAR(10)&amp;" AND t1."&amp;B11&amp;" = "&amp;"@"&amp;B11&amp;CHAR(10)&amp;
" AND t1."&amp;B12&amp;" = "&amp;"@"&amp;B12&amp;CHAR(10)&amp;" AND t1."&amp;B13&amp;" = "&amp;"@"&amp;B13&amp;CHAR(10)&amp;" AND t1."&amp;B14&amp;" = "&amp;"@"&amp;B14&amp;CHAR(10)&amp;" AND t1."&amp;B15&amp;" = "&amp;"@"&amp;B15&amp;CHAR(10)&amp;" AND t1."&amp;B16&amp;" = "&amp;"@"&amp;B16&amp;CHAR(10)&amp;
" AND t1."&amp;B17&amp;" = "&amp;"@"&amp;B17&amp;CHAR(10)&amp;" AND t1."&amp;B18&amp;" = "&amp;"@"&amp;B18&amp;CHAR(10)&amp;" AND t1."&amp;B19&amp;" = "&amp;"@"&amp;B19&amp;CHAR(10)&amp;" AND t1."&amp;B20&amp;" = "&amp;"@"&amp;B20&amp;CHAR(10)&amp;" AND t1."&amp;B21&amp;" = "&amp;"@"&amp;B21&amp;CHAR(10)&amp;
" AND t1."&amp;B22&amp;" = "&amp;"@"&amp;B22&amp;CHAR(10)&amp;" AND t1."&amp;B23&amp;" = "&amp;"@"&amp;B23&amp;CHAR(10)&amp;" AND t1."&amp;B24&amp;" = "&amp;"@"&amp;B24&amp;CHAR(10)&amp;"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t1."&amp;B25&amp;" = "&amp;"@"&amp;B25&amp;CHAR(10)&amp;" AND t1."&amp;B26&amp;" = "&amp;"@"&amp;B26&amp;CHAR(10)&amp;" AND t1."&amp;B27&amp;" = "&amp;"@"&amp;B27&amp;CHAR(10)&amp;
" AND t1."&amp;B28&amp;" = "&amp;"@"&amp;B28&amp;CHAR(10)&amp;" AND t1."&amp;B29&amp;" = "&amp;"@"&amp;B29&amp;CHAR(10)&amp;" AND t1."&amp;B30&amp;" = "&amp;"@"&amp;B30&amp;CHAR(10)&amp;" AND t1."&amp;B31&amp;" = "&amp;"@"&amp;B31&amp;CHAR(10)&amp;" AND t1."&amp;B32&amp;" = "&amp;"@"&amp;B32&amp;CHAR(10)&amp;
" AND t1."&amp;B33&amp;" = "&amp;"@"&amp;B33&amp;CHAR(10)&amp;" AND t1."&amp;B34&amp;" = "&amp;"@"&amp;B34&amp;CHAR(10)&amp;" AND t1."&amp;B35&amp;" = "&amp;"@"&amp;B35&amp;CHAR(10)&amp;" AND t1."&amp;B36&amp;" = "&amp;"@"&amp;B36&amp;CHAR(10)&amp;" AND t1."&amp;B37&amp;" = "&amp;"@"&amp;B37&amp;CHAR(10)&amp;
" AND t1."&amp;B38&amp;" = "&amp;"@"&amp;B38&amp;CHAR(10)&amp;" AND t1."&amp;B39&amp;" = "&amp;"@"&amp;B39&amp;CHAR(10)&amp;" AND t1."&amp;B40&amp;" = "&amp;"@"&amp;B40&amp;CHAR(10)&amp;" AND t1."&amp;B41&amp;" = "&amp;"@"&amp;B41&amp;CHAR(10)&amp;" AND t1."&amp;B42&amp;" = "&amp;"@"&amp;B42&amp;CHAR(10)&amp;
" AND t1."&amp;B43&amp;" = "&amp;"@"&amp;B43&amp;CHAR(10)&amp;" AND t1."&amp;B44&amp;" = "&amp;"@"&amp;B44&amp;CHAR(10)&amp;" AND t1."&amp;B45&amp;" = "&amp;"@"&amp;B45&amp;CHAR(10)&amp;" AND t1."&amp;B46&amp;" = "&amp;"@"&amp;B46&amp;CHAR(10)&amp;" AND t1."&amp;B47&amp;" = "&amp;"@"&amp;B47&amp;CHAR(10)&amp;
" AND t1."&amp;B48&amp;" = "&amp;"@"&amp;B48&amp;CHAR(10)&amp;" AND t1."&amp;B49&amp;" = "&amp;"@"&amp;B49&amp;CHAR(10)&amp;" AND t1."&amp;B50&amp;" = "&amp;"@"&amp;B50&amp;CHAR(10)&amp;" AND t1."&amp;B51&amp;" = "&amp;"@"&amp;B51&amp;CHAR(10)&amp;" AND t1."&amp;B52&amp;" = "&amp;"@"&amp;B52&amp;CHAR(10)</f>
        <v>#REF!</v>
      </c>
    </row>
    <row r="4" spans="1:32" x14ac:dyDescent="0.4">
      <c r="A4" s="2"/>
      <c r="B4" s="2"/>
      <c r="C4" s="2"/>
      <c r="D4" s="2"/>
      <c r="E4" s="2"/>
      <c r="F4" s="2" t="s">
        <v>15</v>
      </c>
      <c r="G4" s="2" t="s">
        <v>23</v>
      </c>
      <c r="H4" s="2" t="s">
        <v>13</v>
      </c>
      <c r="I4" s="2" t="s">
        <v>14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28</v>
      </c>
      <c r="P4" s="2" t="s">
        <v>27</v>
      </c>
      <c r="Q4" s="2" t="s">
        <v>29</v>
      </c>
      <c r="R4" s="2" t="s">
        <v>16</v>
      </c>
      <c r="S4" s="2" t="s">
        <v>22</v>
      </c>
      <c r="T4" s="3" t="s">
        <v>24</v>
      </c>
      <c r="U4" s="3" t="s">
        <v>25</v>
      </c>
      <c r="V4" s="3" t="s">
        <v>26</v>
      </c>
      <c r="W4" s="3"/>
      <c r="X4" s="3"/>
      <c r="Y4" s="3"/>
      <c r="Z4" s="3"/>
      <c r="AA4" s="3"/>
      <c r="AB4" s="2"/>
      <c r="AC4" s="2"/>
      <c r="AD4" s="2"/>
      <c r="AE4" s="2"/>
      <c r="AF4" s="2"/>
    </row>
    <row r="5" spans="1:32" ht="14.5" x14ac:dyDescent="0.4">
      <c r="A5" s="1" t="s">
        <v>62</v>
      </c>
      <c r="B5" s="1" t="s">
        <v>31</v>
      </c>
      <c r="C5" s="1" t="s">
        <v>37</v>
      </c>
      <c r="D5" s="1" t="s">
        <v>5</v>
      </c>
      <c r="E5" s="4">
        <v>4</v>
      </c>
      <c r="F5" s="1" t="str">
        <f>IF(G5&lt;&gt;"",LOWER(LEFT(G5,1))&amp;RIGHT(G5,LEN(G5)-1),"")</f>
        <v>carCd</v>
      </c>
      <c r="G5" s="1" t="str">
        <f t="shared" ref="G5:G29" si="0">SUBSTITUTE(PROPER(SUBSTITUTE(LOWER(B5),"_"," "))," ","")</f>
        <v>CarCd</v>
      </c>
      <c r="H5" s="1" t="str">
        <f t="shared" ref="H5:H10" si="1">IF(D5="VARCHAR","string",IF(D5="DECIMAL","decimal?",IF(D5="DATETIME","DateTime?",IF(D5="INT","int","string"))))</f>
        <v>string</v>
      </c>
      <c r="I5" s="1" t="str">
        <f>"///&lt;summary&gt;"&amp;CHAR(10)&amp;"///"&amp;TRIM(C5)&amp;CHAR(10)&amp;"///&lt;/summary&gt;"&amp;CHAR(10)&amp;"public "&amp;H5&amp;" " &amp;TRIM(G5)&amp;" {get; set;}"&amp;CHAR(10)</f>
        <v xml:space="preserve">///&lt;summary&gt;
///車種
///&lt;/summary&gt;
public string CarCd {get; set;}
</v>
      </c>
      <c r="J5" s="1" t="str">
        <f t="shared" ref="J5:J68" si="2">" AND t1."&amp;B5&amp;" = "&amp;"@"&amp;B5</f>
        <v xml:space="preserve"> AND t1.CAR_CD = @CAR_CD</v>
      </c>
      <c r="K5" s="1" t="str">
        <f t="shared" ref="K5:K68" si="3">"t1."&amp;B5&amp;"        "&amp;"AS "&amp;G5&amp;","</f>
        <v>t1.CAR_CD        AS CarCd,</v>
      </c>
      <c r="L5" s="1" t="str">
        <f t="shared" ref="L5:L68" si="4">","&amp; B5</f>
        <v>,CAR_CD</v>
      </c>
      <c r="M5" s="1" t="str">
        <f t="shared" ref="M5:M68" si="5">",@"&amp;B5</f>
        <v>,@CAR_CD</v>
      </c>
      <c r="N5" s="1" t="str">
        <f t="shared" ref="N5:N68" si="6">B5&amp;" = "&amp;"@"&amp;B5&amp;", "</f>
        <v xml:space="preserve">CAR_CD = @CAR_CD, </v>
      </c>
      <c r="O5" s="1" t="str">
        <f>"error += ExcelUtil.CheckValue("&amp; IF(LOWER(D5)="decimal","excelVo."&amp;G5&amp;".ToString() ","excelVo."&amp;G5)  &amp;" , "&amp; """" &amp; TRIM(C5)&amp;""""&amp;", false, (null, null, "&amp;E5&amp;"), ("&amp;IF(LOWER(D5)="decimal","false","true")&amp;", false, "&amp;IF(LOWER(D5)="decimal","true","false")&amp;"), (false, false));"</f>
        <v>error += ExcelUtil.CheckValue(excelVo.CarCd , "車種", false, (null, null, 4), (true, false, false), (false, false));</v>
      </c>
      <c r="P5" s="1" t="str">
        <f>"excelVo."&amp; G5&amp; " = StringUtil.IsNotEmpty(ExcelUtil.GetCell(sheet, i, j).ToString().TrimEnd())? ExcelUtil.GetCell(sheet, i, j).ToString().TrimEnd().ToUpper():"&amp; """" &amp; """" &amp;";j++;" &amp;"//"&amp;C5</f>
        <v>excelVo.CarCd = StringUtil.IsNotEmpty(ExcelUtil.GetCell(sheet, i, j).ToString().TrimEnd())? ExcelUtil.GetCell(sheet, i, j).ToString().TrimEnd().ToUpper():"";j++;//車種</v>
      </c>
      <c r="Q5" s="1" t="str">
        <f>"ExcelUtil.SetContent(sheet, row, column++, (string)item["&amp;""""&amp;F5 &amp;""""&amp;"]);"</f>
        <v>ExcelUtil.SetContent(sheet, row, column++, (string)item["carCd"]);</v>
      </c>
      <c r="R5" s="1" t="str">
        <f>"paramDt.Add("&amp; """" &amp;"@"&amp; B5&amp; """" &amp;" , "&amp; G5 &amp;" );//"&amp;D5</f>
        <v>paramDt.Add("@CAR_CD" , CarCd );//VARCHAR</v>
      </c>
      <c r="S5" s="1" t="str">
        <f>"paramDt.Add("&amp; """" &amp;"@"&amp; B5&amp; """" &amp;" , master."&amp; G5 &amp;" );//"&amp;C5</f>
        <v>paramDt.Add("@CAR_CD" , master.CarCd );//車種</v>
      </c>
      <c r="T5" s="1" t="str">
        <f>"{ name: '"&amp;F5&amp;"' , sort: '"&amp;B5&amp;"' },"</f>
        <v>{ name: 'carCd' , sort: 'CAR_CD' },</v>
      </c>
      <c r="U5" s="1" t="str">
        <f>""""&amp;F5&amp;""""&amp;":"&amp;""""&amp;TRIM(C5)&amp;""""&amp;","</f>
        <v>"carCd":"車種",</v>
      </c>
      <c r="V5" s="1" t="str">
        <f>IF(LOWER(D5)="decimal","this.vo."&amp;F5&amp;" = "&amp;0,"this.vo."&amp;F5&amp;" = ''")&amp;" ; //"&amp;TRIM(C5)</f>
        <v>this.vo.carCd = '' ; //車種</v>
      </c>
    </row>
    <row r="6" spans="1:32" ht="14.5" x14ac:dyDescent="0.4">
      <c r="A6" s="1" t="s">
        <v>43</v>
      </c>
      <c r="B6" s="1" t="s">
        <v>44</v>
      </c>
      <c r="C6" s="1" t="s">
        <v>53</v>
      </c>
      <c r="D6" s="1" t="s">
        <v>5</v>
      </c>
      <c r="E6" s="5">
        <v>4</v>
      </c>
      <c r="F6" s="1" t="str">
        <f t="shared" ref="F6:F29" si="7">IF(G6&lt;&gt;"",LOWER(LEFT(G6,1))&amp;RIGHT(G6,LEN(G6)-1),"")</f>
        <v>importCountry</v>
      </c>
      <c r="G6" s="1" t="str">
        <f t="shared" si="0"/>
        <v>ImportCountry</v>
      </c>
      <c r="H6" s="1" t="str">
        <f t="shared" si="1"/>
        <v>string</v>
      </c>
      <c r="I6" s="1" t="str">
        <f t="shared" ref="I6:I58" si="8">"///&lt;summary&gt;"&amp;CHAR(10)&amp;"///"&amp;TRIM(C6)&amp;CHAR(10)&amp;"///&lt;/summary&gt;"&amp;CHAR(10)&amp;"public "&amp;H6&amp;" " &amp;TRIM(G6)&amp;" {get; set;}"&amp;CHAR(10)</f>
        <v xml:space="preserve">///&lt;summary&gt;
///輸入國別
///&lt;/summary&gt;
public string ImportCountry {get; set;}
</v>
      </c>
      <c r="J6" s="1" t="str">
        <f t="shared" si="2"/>
        <v xml:space="preserve"> AND t1.IMPORT_COUNTRY = @IMPORT_COUNTRY</v>
      </c>
      <c r="K6" s="1" t="str">
        <f t="shared" si="3"/>
        <v>t1.IMPORT_COUNTRY        AS ImportCountry,</v>
      </c>
      <c r="L6" s="1" t="str">
        <f t="shared" si="4"/>
        <v>,IMPORT_COUNTRY</v>
      </c>
      <c r="M6" s="1" t="str">
        <f t="shared" si="5"/>
        <v>,@IMPORT_COUNTRY</v>
      </c>
      <c r="N6" s="1" t="str">
        <f t="shared" si="6"/>
        <v xml:space="preserve">IMPORT_COUNTRY = @IMPORT_COUNTRY, </v>
      </c>
      <c r="O6" s="1" t="str">
        <f t="shared" ref="O6:O69" si="9">"error += ExcelUtil.CheckValue("&amp; IF(LOWER(D6)="decimal","excelVo."&amp;G6&amp;".ToString() ","excelVo."&amp;G6)  &amp;" , "&amp; """" &amp; TRIM(C6)&amp;""""&amp;", false, (null, null, "&amp;E6&amp;"), ("&amp;IF(LOWER(D6)="decimal","false","true")&amp;", false, "&amp;IF(LOWER(D6)="decimal","true","false")&amp;"), (false, false));"</f>
        <v>error += ExcelUtil.CheckValue(excelVo.ImportCountry , "輸入國別", false, (null, null, 4), (true, false, false), (false, false));</v>
      </c>
      <c r="P6" s="1" t="str">
        <f t="shared" ref="P6:P69" si="10">"excelVo."&amp; G6&amp; " = StringUtil.IsNotEmpty(ExcelUtil.GetCell(sheet, i, j).ToString().TrimEnd())? ExcelUtil.GetCell(sheet, i, j).ToString().TrimEnd().ToUpper():"&amp; """" &amp; """" &amp;";j++;" &amp;"//"&amp;C6</f>
        <v>excelVo.ImportCountry = StringUtil.IsNotEmpty(ExcelUtil.GetCell(sheet, i, j).ToString().TrimEnd())? ExcelUtil.GetCell(sheet, i, j).ToString().TrimEnd().ToUpper():"";j++;//輸入國別</v>
      </c>
      <c r="Q6" s="1" t="str">
        <f t="shared" ref="Q6:Q69" si="11">"ExcelUtil.SetContent(sheet, row, column++, (string)item["&amp;""""&amp;F6 &amp;""""&amp;"]);"</f>
        <v>ExcelUtil.SetContent(sheet, row, column++, (string)item["importCountry"]);</v>
      </c>
      <c r="R6" s="1" t="str">
        <f t="shared" ref="R6:R69" si="12">"paramDt.Add("&amp; """" &amp;"@"&amp; B6&amp; """" &amp;" , "&amp; G6 &amp;" );//"&amp;D6</f>
        <v>paramDt.Add("@IMPORT_COUNTRY" , ImportCountry );//VARCHAR</v>
      </c>
      <c r="S6" s="1" t="str">
        <f t="shared" ref="S6:S69" si="13">"paramDt.Add("&amp; """" &amp;"@"&amp; B6&amp; """" &amp;" , master."&amp; G6 &amp;" );//"&amp;C6</f>
        <v>paramDt.Add("@IMPORT_COUNTRY" , master.ImportCountry );//輸入國別</v>
      </c>
      <c r="T6" s="1" t="str">
        <f t="shared" ref="T6:T29" si="14">"{ name: '"&amp;F6&amp;"' , sort: '"&amp;B6&amp;"' },"</f>
        <v>{ name: 'importCountry' , sort: 'IMPORT_COUNTRY' },</v>
      </c>
      <c r="U6" s="1" t="str">
        <f t="shared" ref="U6:U69" si="15">""""&amp;F6&amp;""""&amp;":"&amp;""""&amp;TRIM(C6)&amp;""""&amp;","</f>
        <v>"importCountry":"輸入國別",</v>
      </c>
      <c r="V6" s="1" t="str">
        <f t="shared" ref="V6:V69" si="16">IF(LOWER(D6)="decimal","this.vo."&amp;F6&amp;" = "&amp;0,"this.vo."&amp;F6&amp;" = ''")&amp;" ; //"&amp;TRIM(C6)</f>
        <v>this.vo.importCountry = '' ; //輸入國別</v>
      </c>
    </row>
    <row r="7" spans="1:32" ht="14.5" x14ac:dyDescent="0.4">
      <c r="A7" s="1" t="s">
        <v>43</v>
      </c>
      <c r="B7" s="1" t="s">
        <v>45</v>
      </c>
      <c r="C7" s="1" t="s">
        <v>54</v>
      </c>
      <c r="D7" s="1" t="s">
        <v>5</v>
      </c>
      <c r="E7" s="5">
        <v>4</v>
      </c>
      <c r="F7" s="1" t="str">
        <f t="shared" si="7"/>
        <v>exportCountry</v>
      </c>
      <c r="G7" s="1" t="str">
        <f t="shared" si="0"/>
        <v>ExportCountry</v>
      </c>
      <c r="H7" s="1" t="str">
        <f t="shared" si="1"/>
        <v>string</v>
      </c>
      <c r="I7" s="1" t="str">
        <f t="shared" si="8"/>
        <v xml:space="preserve">///&lt;summary&gt;
///輸出國別
///&lt;/summary&gt;
public string ExportCountry {get; set;}
</v>
      </c>
      <c r="J7" s="1" t="str">
        <f t="shared" si="2"/>
        <v xml:space="preserve"> AND t1.EXPORT_COUNTRY = @EXPORT_COUNTRY</v>
      </c>
      <c r="K7" s="1" t="str">
        <f t="shared" si="3"/>
        <v>t1.EXPORT_COUNTRY        AS ExportCountry,</v>
      </c>
      <c r="L7" s="1" t="str">
        <f t="shared" si="4"/>
        <v>,EXPORT_COUNTRY</v>
      </c>
      <c r="M7" s="1" t="str">
        <f t="shared" si="5"/>
        <v>,@EXPORT_COUNTRY</v>
      </c>
      <c r="N7" s="1" t="str">
        <f t="shared" si="6"/>
        <v xml:space="preserve">EXPORT_COUNTRY = @EXPORT_COUNTRY, </v>
      </c>
      <c r="O7" s="1" t="str">
        <f t="shared" si="9"/>
        <v>error += ExcelUtil.CheckValue(excelVo.ExportCountry , "輸出國別", false, (null, null, 4), (true, false, false), (false, false));</v>
      </c>
      <c r="P7" s="1" t="str">
        <f t="shared" si="10"/>
        <v>excelVo.ExportCountry = StringUtil.IsNotEmpty(ExcelUtil.GetCell(sheet, i, j).ToString().TrimEnd())? ExcelUtil.GetCell(sheet, i, j).ToString().TrimEnd().ToUpper():"";j++;//輸出國別</v>
      </c>
      <c r="Q7" s="1" t="str">
        <f t="shared" si="11"/>
        <v>ExcelUtil.SetContent(sheet, row, column++, (string)item["exportCountry"]);</v>
      </c>
      <c r="R7" s="1" t="str">
        <f t="shared" si="12"/>
        <v>paramDt.Add("@EXPORT_COUNTRY" , ExportCountry );//VARCHAR</v>
      </c>
      <c r="S7" s="1" t="str">
        <f t="shared" si="13"/>
        <v>paramDt.Add("@EXPORT_COUNTRY" , master.ExportCountry );//輸出國別</v>
      </c>
      <c r="T7" s="1" t="str">
        <f t="shared" si="14"/>
        <v>{ name: 'exportCountry' , sort: 'EXPORT_COUNTRY' },</v>
      </c>
      <c r="U7" s="1" t="str">
        <f t="shared" si="15"/>
        <v>"exportCountry":"輸出國別",</v>
      </c>
      <c r="V7" s="1" t="str">
        <f t="shared" si="16"/>
        <v>this.vo.exportCountry = '' ; //輸出國別</v>
      </c>
    </row>
    <row r="8" spans="1:32" ht="14.5" x14ac:dyDescent="0.4">
      <c r="A8" s="1" t="s">
        <v>43</v>
      </c>
      <c r="B8" s="1" t="s">
        <v>46</v>
      </c>
      <c r="C8" s="1" t="s">
        <v>55</v>
      </c>
      <c r="D8" s="1" t="s">
        <v>5</v>
      </c>
      <c r="E8" s="5">
        <v>8</v>
      </c>
      <c r="F8" s="1" t="str">
        <f t="shared" si="7"/>
        <v>orderDt</v>
      </c>
      <c r="G8" s="1" t="str">
        <f t="shared" si="0"/>
        <v>OrderDt</v>
      </c>
      <c r="H8" s="1" t="str">
        <f t="shared" si="1"/>
        <v>string</v>
      </c>
      <c r="I8" s="1" t="str">
        <f t="shared" si="8"/>
        <v xml:space="preserve">///&lt;summary&gt;
///捆包日期
///&lt;/summary&gt;
public string OrderDt {get; set;}
</v>
      </c>
      <c r="J8" s="1" t="str">
        <f t="shared" si="2"/>
        <v xml:space="preserve"> AND t1.ORDER_DT = @ORDER_DT</v>
      </c>
      <c r="K8" s="1" t="str">
        <f t="shared" si="3"/>
        <v>t1.ORDER_DT        AS OrderDt,</v>
      </c>
      <c r="L8" s="1" t="str">
        <f t="shared" si="4"/>
        <v>,ORDER_DT</v>
      </c>
      <c r="M8" s="1" t="str">
        <f t="shared" si="5"/>
        <v>,@ORDER_DT</v>
      </c>
      <c r="N8" s="1" t="str">
        <f t="shared" si="6"/>
        <v xml:space="preserve">ORDER_DT = @ORDER_DT, </v>
      </c>
      <c r="O8" s="1" t="str">
        <f t="shared" si="9"/>
        <v>error += ExcelUtil.CheckValue(excelVo.OrderDt , "捆包日期", false, (null, null, 8), (true, false, false), (false, false));</v>
      </c>
      <c r="P8" s="1" t="str">
        <f t="shared" si="10"/>
        <v>excelVo.OrderDt = StringUtil.IsNotEmpty(ExcelUtil.GetCell(sheet, i, j).ToString().TrimEnd())? ExcelUtil.GetCell(sheet, i, j).ToString().TrimEnd().ToUpper():"";j++;//捆包日期</v>
      </c>
      <c r="Q8" s="1" t="str">
        <f t="shared" si="11"/>
        <v>ExcelUtil.SetContent(sheet, row, column++, (string)item["orderDt"]);</v>
      </c>
      <c r="R8" s="1" t="str">
        <f t="shared" si="12"/>
        <v>paramDt.Add("@ORDER_DT" , OrderDt );//VARCHAR</v>
      </c>
      <c r="S8" s="1" t="str">
        <f t="shared" si="13"/>
        <v>paramDt.Add("@ORDER_DT" , master.OrderDt );//捆包日期</v>
      </c>
      <c r="T8" s="1" t="str">
        <f t="shared" si="14"/>
        <v>{ name: 'orderDt' , sort: 'ORDER_DT' },</v>
      </c>
      <c r="U8" s="1" t="str">
        <f t="shared" si="15"/>
        <v>"orderDt":"捆包日期",</v>
      </c>
      <c r="V8" s="1" t="str">
        <f t="shared" si="16"/>
        <v>this.vo.orderDt = '' ; //捆包日期</v>
      </c>
    </row>
    <row r="9" spans="1:32" ht="14.5" x14ac:dyDescent="0.4">
      <c r="A9" s="1" t="s">
        <v>43</v>
      </c>
      <c r="B9" s="1" t="s">
        <v>47</v>
      </c>
      <c r="C9" s="1" t="s">
        <v>56</v>
      </c>
      <c r="D9" s="1" t="s">
        <v>5</v>
      </c>
      <c r="E9" s="5">
        <v>8</v>
      </c>
      <c r="F9" s="1" t="str">
        <f t="shared" si="7"/>
        <v>vanningDt</v>
      </c>
      <c r="G9" s="1" t="str">
        <f t="shared" si="0"/>
        <v>VanningDt</v>
      </c>
      <c r="H9" s="1" t="str">
        <f t="shared" si="1"/>
        <v>string</v>
      </c>
      <c r="I9" s="1" t="str">
        <f t="shared" si="8"/>
        <v xml:space="preserve">///&lt;summary&gt;
///裝櫃日期
///&lt;/summary&gt;
public string VanningDt {get; set;}
</v>
      </c>
      <c r="J9" s="1" t="str">
        <f t="shared" si="2"/>
        <v xml:space="preserve"> AND t1.VANNING_DT = @VANNING_DT</v>
      </c>
      <c r="K9" s="1" t="str">
        <f t="shared" si="3"/>
        <v>t1.VANNING_DT        AS VanningDt,</v>
      </c>
      <c r="L9" s="1" t="str">
        <f t="shared" si="4"/>
        <v>,VANNING_DT</v>
      </c>
      <c r="M9" s="1" t="str">
        <f t="shared" si="5"/>
        <v>,@VANNING_DT</v>
      </c>
      <c r="N9" s="1" t="str">
        <f t="shared" si="6"/>
        <v xml:space="preserve">VANNING_DT = @VANNING_DT, </v>
      </c>
      <c r="O9" s="1" t="str">
        <f t="shared" si="9"/>
        <v>error += ExcelUtil.CheckValue(excelVo.VanningDt , "裝櫃日期", false, (null, null, 8), (true, false, false), (false, false));</v>
      </c>
      <c r="P9" s="1" t="str">
        <f t="shared" si="10"/>
        <v>excelVo.VanningDt = StringUtil.IsNotEmpty(ExcelUtil.GetCell(sheet, i, j).ToString().TrimEnd())? ExcelUtil.GetCell(sheet, i, j).ToString().TrimEnd().ToUpper():"";j++;//裝櫃日期</v>
      </c>
      <c r="Q9" s="1" t="str">
        <f t="shared" si="11"/>
        <v>ExcelUtil.SetContent(sheet, row, column++, (string)item["vanningDt"]);</v>
      </c>
      <c r="R9" s="1" t="str">
        <f t="shared" si="12"/>
        <v>paramDt.Add("@VANNING_DT" , VanningDt );//VARCHAR</v>
      </c>
      <c r="S9" s="1" t="str">
        <f t="shared" si="13"/>
        <v>paramDt.Add("@VANNING_DT" , master.VanningDt );//裝櫃日期</v>
      </c>
      <c r="T9" s="1" t="str">
        <f t="shared" si="14"/>
        <v>{ name: 'vanningDt' , sort: 'VANNING_DT' },</v>
      </c>
      <c r="U9" s="1" t="str">
        <f t="shared" si="15"/>
        <v>"vanningDt":"裝櫃日期",</v>
      </c>
      <c r="V9" s="1" t="str">
        <f t="shared" si="16"/>
        <v>this.vo.vanningDt = '' ; //裝櫃日期</v>
      </c>
    </row>
    <row r="10" spans="1:32" ht="14.5" x14ac:dyDescent="0.4">
      <c r="A10" s="1" t="s">
        <v>43</v>
      </c>
      <c r="B10" s="1" t="s">
        <v>48</v>
      </c>
      <c r="C10" s="1" t="s">
        <v>57</v>
      </c>
      <c r="D10" s="1" t="s">
        <v>42</v>
      </c>
      <c r="E10" s="5">
        <v>4</v>
      </c>
      <c r="F10" s="1" t="str">
        <f t="shared" si="7"/>
        <v>volume</v>
      </c>
      <c r="G10" s="1" t="str">
        <f t="shared" si="0"/>
        <v>Volume</v>
      </c>
      <c r="H10" s="1" t="str">
        <f t="shared" si="1"/>
        <v>int</v>
      </c>
      <c r="I10" s="1" t="str">
        <f t="shared" si="8"/>
        <v xml:space="preserve">///&lt;summary&gt;
///捆包總台數
///&lt;/summary&gt;
public int Volume {get; set;}
</v>
      </c>
      <c r="J10" s="1" t="str">
        <f t="shared" si="2"/>
        <v xml:space="preserve"> AND t1.VOLUME = @VOLUME</v>
      </c>
      <c r="K10" s="1" t="str">
        <f t="shared" si="3"/>
        <v>t1.VOLUME        AS Volume,</v>
      </c>
      <c r="L10" s="1" t="str">
        <f t="shared" si="4"/>
        <v>,VOLUME</v>
      </c>
      <c r="M10" s="1" t="str">
        <f t="shared" si="5"/>
        <v>,@VOLUME</v>
      </c>
      <c r="N10" s="1" t="str">
        <f t="shared" si="6"/>
        <v xml:space="preserve">VOLUME = @VOLUME, </v>
      </c>
      <c r="O10" s="1" t="str">
        <f t="shared" si="9"/>
        <v>error += ExcelUtil.CheckValue(excelVo.Volume , "捆包總台數", false, (null, null, 4), (true, false, false), (false, false));</v>
      </c>
      <c r="P10" s="1" t="str">
        <f t="shared" si="10"/>
        <v>excelVo.Volume = StringUtil.IsNotEmpty(ExcelUtil.GetCell(sheet, i, j).ToString().TrimEnd())? ExcelUtil.GetCell(sheet, i, j).ToString().TrimEnd().ToUpper():"";j++;//捆包總台數</v>
      </c>
      <c r="Q10" s="1" t="str">
        <f t="shared" si="11"/>
        <v>ExcelUtil.SetContent(sheet, row, column++, (string)item["volume"]);</v>
      </c>
      <c r="R10" s="1" t="str">
        <f t="shared" si="12"/>
        <v>paramDt.Add("@VOLUME" , Volume );//INT</v>
      </c>
      <c r="S10" s="1" t="str">
        <f t="shared" si="13"/>
        <v>paramDt.Add("@VOLUME" , master.Volume );//捆包總台數</v>
      </c>
      <c r="T10" s="1" t="str">
        <f t="shared" si="14"/>
        <v>{ name: 'volume' , sort: 'VOLUME' },</v>
      </c>
      <c r="U10" s="1" t="str">
        <f t="shared" si="15"/>
        <v>"volume":"捆包總台數",</v>
      </c>
      <c r="V10" s="1" t="str">
        <f t="shared" si="16"/>
        <v>this.vo.volume = '' ; //捆包總台數</v>
      </c>
    </row>
    <row r="11" spans="1:32" ht="14.5" x14ac:dyDescent="0.4">
      <c r="A11" s="1" t="s">
        <v>43</v>
      </c>
      <c r="B11" s="1" t="s">
        <v>49</v>
      </c>
      <c r="C11" s="1" t="s">
        <v>58</v>
      </c>
      <c r="D11" s="1" t="s">
        <v>30</v>
      </c>
      <c r="E11" s="5">
        <v>8</v>
      </c>
      <c r="F11" s="1" t="str">
        <f t="shared" si="7"/>
        <v>loadingDt</v>
      </c>
      <c r="G11" s="1" t="str">
        <f t="shared" si="0"/>
        <v>LoadingDt</v>
      </c>
      <c r="H11" s="1" t="str">
        <f>IF(D11="VARCHAR","string",IF(D11="DECIMAL","decimal?",IF(D11="DATETIME","DateTime?",IF(D11="INT","int","string"))))</f>
        <v>string</v>
      </c>
      <c r="I11" s="1" t="str">
        <f t="shared" si="8"/>
        <v xml:space="preserve">///&lt;summary&gt;
///出船日期
///&lt;/summary&gt;
public string LoadingDt {get; set;}
</v>
      </c>
      <c r="J11" s="1" t="str">
        <f t="shared" si="2"/>
        <v xml:space="preserve"> AND t1.LOADING_DT = @LOADING_DT</v>
      </c>
      <c r="K11" s="1" t="str">
        <f t="shared" si="3"/>
        <v>t1.LOADING_DT        AS LoadingDt,</v>
      </c>
      <c r="L11" s="1" t="str">
        <f t="shared" si="4"/>
        <v>,LOADING_DT</v>
      </c>
      <c r="M11" s="1" t="str">
        <f t="shared" si="5"/>
        <v>,@LOADING_DT</v>
      </c>
      <c r="N11" s="1" t="str">
        <f t="shared" si="6"/>
        <v xml:space="preserve">LOADING_DT = @LOADING_DT, </v>
      </c>
      <c r="O11" s="1" t="str">
        <f t="shared" si="9"/>
        <v>error += ExcelUtil.CheckValue(excelVo.LoadingDt , "出船日期", false, (null, null, 8), (true, false, false), (false, false));</v>
      </c>
      <c r="P11" s="1" t="str">
        <f t="shared" si="10"/>
        <v>excelVo.LoadingDt = StringUtil.IsNotEmpty(ExcelUtil.GetCell(sheet, i, j).ToString().TrimEnd())? ExcelUtil.GetCell(sheet, i, j).ToString().TrimEnd().ToUpper():"";j++;//出船日期</v>
      </c>
      <c r="Q11" s="1" t="str">
        <f t="shared" si="11"/>
        <v>ExcelUtil.SetContent(sheet, row, column++, (string)item["loadingDt"]);</v>
      </c>
      <c r="R11" s="1" t="str">
        <f t="shared" si="12"/>
        <v>paramDt.Add("@LOADING_DT" , LoadingDt );//NVARCHAR</v>
      </c>
      <c r="S11" s="1" t="str">
        <f t="shared" si="13"/>
        <v>paramDt.Add("@LOADING_DT" , master.LoadingDt );//出船日期</v>
      </c>
      <c r="T11" s="1" t="str">
        <f t="shared" si="14"/>
        <v>{ name: 'loadingDt' , sort: 'LOADING_DT' },</v>
      </c>
      <c r="U11" s="1" t="str">
        <f t="shared" si="15"/>
        <v>"loadingDt":"出船日期",</v>
      </c>
      <c r="V11" s="1" t="str">
        <f t="shared" si="16"/>
        <v>this.vo.loadingDt = '' ; //出船日期</v>
      </c>
    </row>
    <row r="12" spans="1:32" ht="14.5" x14ac:dyDescent="0.4">
      <c r="A12" s="1" t="s">
        <v>43</v>
      </c>
      <c r="B12" s="1" t="s">
        <v>50</v>
      </c>
      <c r="C12" s="1" t="s">
        <v>59</v>
      </c>
      <c r="D12" s="1" t="s">
        <v>30</v>
      </c>
      <c r="E12" s="5">
        <v>8</v>
      </c>
      <c r="F12" s="1" t="str">
        <f t="shared" si="7"/>
        <v>unLoadingDt</v>
      </c>
      <c r="G12" s="1" t="str">
        <f t="shared" si="0"/>
        <v>UnLoadingDt</v>
      </c>
      <c r="H12" s="1" t="str">
        <f t="shared" ref="H12:H58" si="17">IF(D12="VARCHAR","string",IF(D12="DECIMAL","decimal?",IF(D12="DATETIME","DateTime?",IF(D12="INT","int","string"))))</f>
        <v>string</v>
      </c>
      <c r="I12" s="1" t="str">
        <f t="shared" si="8"/>
        <v xml:space="preserve">///&lt;summary&gt;
///到港日期
///&lt;/summary&gt;
public string UnLoadingDt {get; set;}
</v>
      </c>
      <c r="J12" s="1" t="str">
        <f t="shared" si="2"/>
        <v xml:space="preserve"> AND t1.UN_LOADING_DT = @UN_LOADING_DT</v>
      </c>
      <c r="K12" s="1" t="str">
        <f t="shared" si="3"/>
        <v>t1.UN_LOADING_DT        AS UnLoadingDt,</v>
      </c>
      <c r="L12" s="1" t="str">
        <f t="shared" si="4"/>
        <v>,UN_LOADING_DT</v>
      </c>
      <c r="M12" s="1" t="str">
        <f t="shared" si="5"/>
        <v>,@UN_LOADING_DT</v>
      </c>
      <c r="N12" s="1" t="str">
        <f t="shared" si="6"/>
        <v xml:space="preserve">UN_LOADING_DT = @UN_LOADING_DT, </v>
      </c>
      <c r="O12" s="1" t="str">
        <f t="shared" si="9"/>
        <v>error += ExcelUtil.CheckValue(excelVo.UnLoadingDt , "到港日期", false, (null, null, 8), (true, false, false), (false, false));</v>
      </c>
      <c r="P12" s="1" t="str">
        <f t="shared" si="10"/>
        <v>excelVo.UnLoadingDt = StringUtil.IsNotEmpty(ExcelUtil.GetCell(sheet, i, j).ToString().TrimEnd())? ExcelUtil.GetCell(sheet, i, j).ToString().TrimEnd().ToUpper():"";j++;//到港日期</v>
      </c>
      <c r="Q12" s="1" t="str">
        <f t="shared" si="11"/>
        <v>ExcelUtil.SetContent(sheet, row, column++, (string)item["unLoadingDt"]);</v>
      </c>
      <c r="R12" s="1" t="str">
        <f t="shared" si="12"/>
        <v>paramDt.Add("@UN_LOADING_DT" , UnLoadingDt );//NVARCHAR</v>
      </c>
      <c r="S12" s="1" t="str">
        <f t="shared" si="13"/>
        <v>paramDt.Add("@UN_LOADING_DT" , master.UnLoadingDt );//到港日期</v>
      </c>
      <c r="T12" s="1" t="str">
        <f t="shared" si="14"/>
        <v>{ name: 'unLoadingDt' , sort: 'UN_LOADING_DT' },</v>
      </c>
      <c r="U12" s="1" t="str">
        <f t="shared" si="15"/>
        <v>"unLoadingDt":"到港日期",</v>
      </c>
      <c r="V12" s="1" t="str">
        <f t="shared" si="16"/>
        <v>this.vo.unLoadingDt = '' ; //到港日期</v>
      </c>
    </row>
    <row r="13" spans="1:32" ht="14.5" x14ac:dyDescent="0.4">
      <c r="A13" s="1" t="s">
        <v>43</v>
      </c>
      <c r="B13" s="1" t="s">
        <v>51</v>
      </c>
      <c r="C13" s="1" t="s">
        <v>60</v>
      </c>
      <c r="D13" s="1" t="s">
        <v>30</v>
      </c>
      <c r="E13" s="5">
        <v>8</v>
      </c>
      <c r="F13" s="1" t="str">
        <f t="shared" si="7"/>
        <v>productionDt</v>
      </c>
      <c r="G13" s="1" t="str">
        <f t="shared" si="0"/>
        <v>ProductionDt</v>
      </c>
      <c r="H13" s="1" t="str">
        <f t="shared" si="17"/>
        <v>string</v>
      </c>
      <c r="I13" s="1" t="str">
        <f t="shared" si="8"/>
        <v xml:space="preserve">///&lt;summary&gt;
///開捆日期
///&lt;/summary&gt;
public string ProductionDt {get; set;}
</v>
      </c>
      <c r="J13" s="1" t="str">
        <f t="shared" si="2"/>
        <v xml:space="preserve"> AND t1.PRODUCTION_DT = @PRODUCTION_DT</v>
      </c>
      <c r="K13" s="1" t="str">
        <f t="shared" si="3"/>
        <v>t1.PRODUCTION_DT        AS ProductionDt,</v>
      </c>
      <c r="L13" s="1" t="str">
        <f t="shared" si="4"/>
        <v>,PRODUCTION_DT</v>
      </c>
      <c r="M13" s="1" t="str">
        <f t="shared" si="5"/>
        <v>,@PRODUCTION_DT</v>
      </c>
      <c r="N13" s="1" t="str">
        <f t="shared" si="6"/>
        <v xml:space="preserve">PRODUCTION_DT = @PRODUCTION_DT, </v>
      </c>
      <c r="O13" s="1" t="str">
        <f t="shared" si="9"/>
        <v>error += ExcelUtil.CheckValue(excelVo.ProductionDt , "開捆日期", false, (null, null, 8), (true, false, false), (false, false));</v>
      </c>
      <c r="P13" s="1" t="str">
        <f t="shared" si="10"/>
        <v>excelVo.ProductionDt = StringUtil.IsNotEmpty(ExcelUtil.GetCell(sheet, i, j).ToString().TrimEnd())? ExcelUtil.GetCell(sheet, i, j).ToString().TrimEnd().ToUpper():"";j++;//開捆日期</v>
      </c>
      <c r="Q13" s="1" t="str">
        <f t="shared" si="11"/>
        <v>ExcelUtil.SetContent(sheet, row, column++, (string)item["productionDt"]);</v>
      </c>
      <c r="R13" s="1" t="str">
        <f t="shared" si="12"/>
        <v>paramDt.Add("@PRODUCTION_DT" , ProductionDt );//NVARCHAR</v>
      </c>
      <c r="S13" s="1" t="str">
        <f t="shared" si="13"/>
        <v>paramDt.Add("@PRODUCTION_DT" , master.ProductionDt );//開捆日期</v>
      </c>
      <c r="T13" s="1" t="str">
        <f t="shared" si="14"/>
        <v>{ name: 'productionDt' , sort: 'PRODUCTION_DT' },</v>
      </c>
      <c r="U13" s="1" t="str">
        <f t="shared" si="15"/>
        <v>"productionDt":"開捆日期",</v>
      </c>
      <c r="V13" s="1" t="str">
        <f t="shared" si="16"/>
        <v>this.vo.productionDt = '' ; //開捆日期</v>
      </c>
    </row>
    <row r="14" spans="1:32" ht="14.5" x14ac:dyDescent="0.4">
      <c r="A14" s="1" t="s">
        <v>43</v>
      </c>
      <c r="B14" s="1" t="s">
        <v>52</v>
      </c>
      <c r="C14" s="1" t="s">
        <v>61</v>
      </c>
      <c r="D14" s="1" t="s">
        <v>42</v>
      </c>
      <c r="E14" s="5">
        <v>4</v>
      </c>
      <c r="F14" s="1" t="str">
        <f t="shared" si="7"/>
        <v>usedVolume</v>
      </c>
      <c r="G14" s="1" t="str">
        <f t="shared" si="0"/>
        <v>UsedVolume</v>
      </c>
      <c r="H14" s="1" t="str">
        <f t="shared" si="17"/>
        <v>int</v>
      </c>
      <c r="I14" s="1" t="str">
        <f t="shared" si="8"/>
        <v xml:space="preserve">///&lt;summary&gt;
///台數
///&lt;/summary&gt;
public int UsedVolume {get; set;}
</v>
      </c>
      <c r="J14" s="1" t="str">
        <f t="shared" si="2"/>
        <v xml:space="preserve"> AND t1.USED_VOLUME = @USED_VOLUME</v>
      </c>
      <c r="K14" s="1" t="str">
        <f t="shared" si="3"/>
        <v>t1.USED_VOLUME        AS UsedVolume,</v>
      </c>
      <c r="L14" s="1" t="str">
        <f t="shared" si="4"/>
        <v>,USED_VOLUME</v>
      </c>
      <c r="M14" s="1" t="str">
        <f t="shared" si="5"/>
        <v>,@USED_VOLUME</v>
      </c>
      <c r="N14" s="1" t="str">
        <f t="shared" si="6"/>
        <v xml:space="preserve">USED_VOLUME = @USED_VOLUME, </v>
      </c>
      <c r="O14" s="1" t="str">
        <f t="shared" si="9"/>
        <v>error += ExcelUtil.CheckValue(excelVo.UsedVolume , "台數", false, (null, null, 4), (true, false, false), (false, false));</v>
      </c>
      <c r="P14" s="1" t="str">
        <f t="shared" si="10"/>
        <v>excelVo.UsedVolume = StringUtil.IsNotEmpty(ExcelUtil.GetCell(sheet, i, j).ToString().TrimEnd())? ExcelUtil.GetCell(sheet, i, j).ToString().TrimEnd().ToUpper():"";j++;//台數</v>
      </c>
      <c r="Q14" s="1" t="str">
        <f t="shared" si="11"/>
        <v>ExcelUtil.SetContent(sheet, row, column++, (string)item["usedVolume"]);</v>
      </c>
      <c r="R14" s="1" t="str">
        <f t="shared" si="12"/>
        <v>paramDt.Add("@USED_VOLUME" , UsedVolume );//INT</v>
      </c>
      <c r="S14" s="1" t="str">
        <f t="shared" si="13"/>
        <v>paramDt.Add("@USED_VOLUME" , master.UsedVolume );//台數</v>
      </c>
      <c r="T14" s="1" t="str">
        <f t="shared" si="14"/>
        <v>{ name: 'usedVolume' , sort: 'USED_VOLUME' },</v>
      </c>
      <c r="U14" s="1" t="str">
        <f t="shared" si="15"/>
        <v>"usedVolume":"台數",</v>
      </c>
      <c r="V14" s="1" t="str">
        <f t="shared" si="16"/>
        <v>this.vo.usedVolume = '' ; //台數</v>
      </c>
    </row>
    <row r="15" spans="1:32" ht="14.5" x14ac:dyDescent="0.4">
      <c r="A15" s="1" t="s">
        <v>43</v>
      </c>
      <c r="B15" s="1" t="s">
        <v>0</v>
      </c>
      <c r="C15" s="1" t="s">
        <v>7</v>
      </c>
      <c r="D15" s="1" t="s">
        <v>5</v>
      </c>
      <c r="E15" s="5">
        <v>20</v>
      </c>
      <c r="F15" s="1" t="str">
        <f t="shared" si="7"/>
        <v>createdBy</v>
      </c>
      <c r="G15" s="1" t="str">
        <f t="shared" si="0"/>
        <v>CreatedBy</v>
      </c>
      <c r="H15" s="1" t="str">
        <f t="shared" si="17"/>
        <v>string</v>
      </c>
      <c r="I15" s="1" t="str">
        <f t="shared" si="8"/>
        <v xml:space="preserve">///&lt;summary&gt;
///新增人員
///&lt;/summary&gt;
public string CreatedBy {get; set;}
</v>
      </c>
      <c r="J15" s="1" t="str">
        <f t="shared" si="2"/>
        <v xml:space="preserve"> AND t1.CREATED_BY = @CREATED_BY</v>
      </c>
      <c r="K15" s="1" t="str">
        <f t="shared" si="3"/>
        <v>t1.CREATED_BY        AS CreatedBy,</v>
      </c>
      <c r="L15" s="1" t="str">
        <f t="shared" si="4"/>
        <v>,CREATED_BY</v>
      </c>
      <c r="M15" s="1" t="str">
        <f t="shared" si="5"/>
        <v>,@CREATED_BY</v>
      </c>
      <c r="N15" s="1" t="str">
        <f t="shared" si="6"/>
        <v xml:space="preserve">CREATED_BY = @CREATED_BY, </v>
      </c>
      <c r="O15" s="1" t="str">
        <f t="shared" si="9"/>
        <v>error += ExcelUtil.CheckValue(excelVo.CreatedBy , "新增人員", false, (null, null, 20), (true, false, false), (false, false));</v>
      </c>
      <c r="P15" s="1" t="str">
        <f t="shared" si="10"/>
        <v>excelVo.CreatedBy = StringUtil.IsNotEmpty(ExcelUtil.GetCell(sheet, i, j).ToString().TrimEnd())? ExcelUtil.GetCell(sheet, i, j).ToString().TrimEnd().ToUpper():"";j++;//新增人員</v>
      </c>
      <c r="Q15" s="1" t="str">
        <f t="shared" si="11"/>
        <v>ExcelUtil.SetContent(sheet, row, column++, (string)item["createdBy"]);</v>
      </c>
      <c r="R15" s="1" t="str">
        <f t="shared" si="12"/>
        <v>paramDt.Add("@CREATED_BY" , CreatedBy );//VARCHAR</v>
      </c>
      <c r="S15" s="1" t="str">
        <f t="shared" si="13"/>
        <v>paramDt.Add("@CREATED_BY" , master.CreatedBy );//新增人員</v>
      </c>
      <c r="T15" s="1" t="str">
        <f t="shared" si="14"/>
        <v>{ name: 'createdBy' , sort: 'CREATED_BY' },</v>
      </c>
      <c r="U15" s="1" t="str">
        <f t="shared" si="15"/>
        <v>"createdBy":"新增人員",</v>
      </c>
      <c r="V15" s="1" t="str">
        <f t="shared" si="16"/>
        <v>this.vo.createdBy = '' ; //新增人員</v>
      </c>
    </row>
    <row r="16" spans="1:32" ht="14.5" x14ac:dyDescent="0.4">
      <c r="A16" s="1" t="s">
        <v>43</v>
      </c>
      <c r="B16" s="1" t="s">
        <v>1</v>
      </c>
      <c r="C16" s="1" t="s">
        <v>8</v>
      </c>
      <c r="D16" s="1" t="s">
        <v>9</v>
      </c>
      <c r="E16" s="5"/>
      <c r="F16" s="1" t="str">
        <f t="shared" si="7"/>
        <v>createdDt</v>
      </c>
      <c r="G16" s="1" t="str">
        <f t="shared" si="0"/>
        <v>CreatedDt</v>
      </c>
      <c r="H16" s="1" t="str">
        <f t="shared" si="17"/>
        <v>DateTime?</v>
      </c>
      <c r="I16" s="1" t="str">
        <f t="shared" si="8"/>
        <v xml:space="preserve">///&lt;summary&gt;
///新增日期時間
///&lt;/summary&gt;
public DateTime? CreatedDt {get; set;}
</v>
      </c>
      <c r="J16" s="1" t="str">
        <f t="shared" si="2"/>
        <v xml:space="preserve"> AND t1.CREATED_DT = @CREATED_DT</v>
      </c>
      <c r="K16" s="1" t="str">
        <f t="shared" si="3"/>
        <v>t1.CREATED_DT        AS CreatedDt,</v>
      </c>
      <c r="L16" s="1" t="str">
        <f t="shared" si="4"/>
        <v>,CREATED_DT</v>
      </c>
      <c r="M16" s="1" t="str">
        <f t="shared" si="5"/>
        <v>,@CREATED_DT</v>
      </c>
      <c r="N16" s="1" t="str">
        <f t="shared" si="6"/>
        <v xml:space="preserve">CREATED_DT = @CREATED_DT, </v>
      </c>
      <c r="O16" s="1" t="str">
        <f t="shared" si="9"/>
        <v>error += ExcelUtil.CheckValue(excelVo.CreatedDt , "新增日期時間", false, (null, null, ), (true, false, false), (false, false));</v>
      </c>
      <c r="P16" s="1" t="str">
        <f t="shared" si="10"/>
        <v>excelVo.CreatedDt = StringUtil.IsNotEmpty(ExcelUtil.GetCell(sheet, i, j).ToString().TrimEnd())? ExcelUtil.GetCell(sheet, i, j).ToString().TrimEnd().ToUpper():"";j++;//新增日期時間</v>
      </c>
      <c r="Q16" s="1" t="str">
        <f t="shared" si="11"/>
        <v>ExcelUtil.SetContent(sheet, row, column++, (string)item["createdDt"]);</v>
      </c>
      <c r="R16" s="1" t="str">
        <f t="shared" si="12"/>
        <v>paramDt.Add("@CREATED_DT" , CreatedDt );//DATETIME</v>
      </c>
      <c r="S16" s="1" t="str">
        <f t="shared" si="13"/>
        <v>paramDt.Add("@CREATED_DT" , master.CreatedDt );//新增日期時間</v>
      </c>
      <c r="T16" s="1" t="str">
        <f t="shared" si="14"/>
        <v>{ name: 'createdDt' , sort: 'CREATED_DT' },</v>
      </c>
      <c r="U16" s="1" t="str">
        <f t="shared" si="15"/>
        <v>"createdDt":"新增日期時間",</v>
      </c>
      <c r="V16" s="1" t="str">
        <f t="shared" si="16"/>
        <v>this.vo.createdDt = '' ; //新增日期時間</v>
      </c>
    </row>
    <row r="17" spans="1:22" ht="14.5" x14ac:dyDescent="0.4">
      <c r="A17" s="1" t="s">
        <v>43</v>
      </c>
      <c r="B17" s="1" t="s">
        <v>2</v>
      </c>
      <c r="C17" s="1" t="s">
        <v>10</v>
      </c>
      <c r="D17" s="1" t="s">
        <v>5</v>
      </c>
      <c r="E17" s="5">
        <v>20</v>
      </c>
      <c r="F17" s="1" t="str">
        <f t="shared" si="7"/>
        <v>updatedBy</v>
      </c>
      <c r="G17" s="1" t="str">
        <f t="shared" si="0"/>
        <v>UpdatedBy</v>
      </c>
      <c r="H17" s="1" t="str">
        <f t="shared" si="17"/>
        <v>string</v>
      </c>
      <c r="I17" s="1" t="str">
        <f t="shared" si="8"/>
        <v xml:space="preserve">///&lt;summary&gt;
///更新人員
///&lt;/summary&gt;
public string UpdatedBy {get; set;}
</v>
      </c>
      <c r="J17" s="1" t="str">
        <f t="shared" si="2"/>
        <v xml:space="preserve"> AND t1.UPDATED_BY = @UPDATED_BY</v>
      </c>
      <c r="K17" s="1" t="str">
        <f t="shared" si="3"/>
        <v>t1.UPDATED_BY        AS UpdatedBy,</v>
      </c>
      <c r="L17" s="1" t="str">
        <f t="shared" si="4"/>
        <v>,UPDATED_BY</v>
      </c>
      <c r="M17" s="1" t="str">
        <f t="shared" si="5"/>
        <v>,@UPDATED_BY</v>
      </c>
      <c r="N17" s="1" t="str">
        <f t="shared" si="6"/>
        <v xml:space="preserve">UPDATED_BY = @UPDATED_BY, </v>
      </c>
      <c r="O17" s="1" t="str">
        <f t="shared" si="9"/>
        <v>error += ExcelUtil.CheckValue(excelVo.UpdatedBy , "更新人員", false, (null, null, 20), (true, false, false), (false, false));</v>
      </c>
      <c r="P17" s="1" t="str">
        <f t="shared" si="10"/>
        <v>excelVo.UpdatedBy = StringUtil.IsNotEmpty(ExcelUtil.GetCell(sheet, i, j).ToString().TrimEnd())? ExcelUtil.GetCell(sheet, i, j).ToString().TrimEnd().ToUpper():"";j++;//更新人員</v>
      </c>
      <c r="Q17" s="1" t="str">
        <f t="shared" si="11"/>
        <v>ExcelUtil.SetContent(sheet, row, column++, (string)item["updatedBy"]);</v>
      </c>
      <c r="R17" s="1" t="str">
        <f t="shared" si="12"/>
        <v>paramDt.Add("@UPDATED_BY" , UpdatedBy );//VARCHAR</v>
      </c>
      <c r="S17" s="1" t="str">
        <f t="shared" si="13"/>
        <v>paramDt.Add("@UPDATED_BY" , master.UpdatedBy );//更新人員</v>
      </c>
      <c r="T17" s="1" t="str">
        <f t="shared" si="14"/>
        <v>{ name: 'updatedBy' , sort: 'UPDATED_BY' },</v>
      </c>
      <c r="U17" s="1" t="str">
        <f t="shared" si="15"/>
        <v>"updatedBy":"更新人員",</v>
      </c>
      <c r="V17" s="1" t="str">
        <f t="shared" si="16"/>
        <v>this.vo.updatedBy = '' ; //更新人員</v>
      </c>
    </row>
    <row r="18" spans="1:22" ht="14.5" x14ac:dyDescent="0.4">
      <c r="A18" s="1" t="s">
        <v>43</v>
      </c>
      <c r="B18" s="1" t="s">
        <v>3</v>
      </c>
      <c r="C18" s="1" t="s">
        <v>11</v>
      </c>
      <c r="D18" s="1" t="s">
        <v>9</v>
      </c>
      <c r="E18" s="5"/>
      <c r="F18" s="1" t="str">
        <f t="shared" si="7"/>
        <v>updatedDt</v>
      </c>
      <c r="G18" s="1" t="str">
        <f t="shared" si="0"/>
        <v>UpdatedDt</v>
      </c>
      <c r="H18" s="1" t="str">
        <f t="shared" si="17"/>
        <v>DateTime?</v>
      </c>
      <c r="I18" s="1" t="str">
        <f t="shared" si="8"/>
        <v xml:space="preserve">///&lt;summary&gt;
///更新日期時間
///&lt;/summary&gt;
public DateTime? UpdatedDt {get; set;}
</v>
      </c>
      <c r="J18" s="1" t="str">
        <f t="shared" si="2"/>
        <v xml:space="preserve"> AND t1.UPDATED_DT = @UPDATED_DT</v>
      </c>
      <c r="K18" s="1" t="str">
        <f t="shared" si="3"/>
        <v>t1.UPDATED_DT        AS UpdatedDt,</v>
      </c>
      <c r="L18" s="1" t="str">
        <f t="shared" si="4"/>
        <v>,UPDATED_DT</v>
      </c>
      <c r="M18" s="1" t="str">
        <f t="shared" si="5"/>
        <v>,@UPDATED_DT</v>
      </c>
      <c r="N18" s="1" t="str">
        <f t="shared" si="6"/>
        <v xml:space="preserve">UPDATED_DT = @UPDATED_DT, </v>
      </c>
      <c r="O18" s="1" t="str">
        <f t="shared" si="9"/>
        <v>error += ExcelUtil.CheckValue(excelVo.UpdatedDt , "更新日期時間", false, (null, null, ), (true, false, false), (false, false));</v>
      </c>
      <c r="P18" s="1" t="str">
        <f t="shared" si="10"/>
        <v>excelVo.UpdatedDt = StringUtil.IsNotEmpty(ExcelUtil.GetCell(sheet, i, j).ToString().TrimEnd())? ExcelUtil.GetCell(sheet, i, j).ToString().TrimEnd().ToUpper():"";j++;//更新日期時間</v>
      </c>
      <c r="Q18" s="1" t="str">
        <f t="shared" si="11"/>
        <v>ExcelUtil.SetContent(sheet, row, column++, (string)item["updatedDt"]);</v>
      </c>
      <c r="R18" s="1" t="str">
        <f t="shared" si="12"/>
        <v>paramDt.Add("@UPDATED_DT" , UpdatedDt );//DATETIME</v>
      </c>
      <c r="S18" s="1" t="str">
        <f t="shared" si="13"/>
        <v>paramDt.Add("@UPDATED_DT" , master.UpdatedDt );//更新日期時間</v>
      </c>
      <c r="T18" s="1" t="str">
        <f t="shared" si="14"/>
        <v>{ name: 'updatedDt' , sort: 'UPDATED_DT' },</v>
      </c>
      <c r="U18" s="1" t="str">
        <f t="shared" si="15"/>
        <v>"updatedDt":"更新日期時間",</v>
      </c>
      <c r="V18" s="1" t="str">
        <f t="shared" si="16"/>
        <v>this.vo.updatedDt = '' ; //更新日期時間</v>
      </c>
    </row>
    <row r="19" spans="1:22" ht="14.5" x14ac:dyDescent="0.4">
      <c r="A19" s="1" t="s">
        <v>43</v>
      </c>
      <c r="B19" s="1" t="s">
        <v>4</v>
      </c>
      <c r="C19" s="1" t="s">
        <v>12</v>
      </c>
      <c r="D19" s="1" t="s">
        <v>5</v>
      </c>
      <c r="E19" s="5">
        <v>30</v>
      </c>
      <c r="F19" s="1" t="str">
        <f t="shared" si="7"/>
        <v>funcId</v>
      </c>
      <c r="G19" s="1" t="str">
        <f t="shared" si="0"/>
        <v>FuncId</v>
      </c>
      <c r="H19" s="1" t="str">
        <f t="shared" si="17"/>
        <v>string</v>
      </c>
      <c r="I19" s="1" t="str">
        <f t="shared" si="8"/>
        <v xml:space="preserve">///&lt;summary&gt;
///更新作業FunctionID
///&lt;/summary&gt;
public string FuncId {get; set;}
</v>
      </c>
      <c r="J19" s="1" t="str">
        <f t="shared" si="2"/>
        <v xml:space="preserve"> AND t1.FUNC_ID = @FUNC_ID</v>
      </c>
      <c r="K19" s="1" t="str">
        <f t="shared" si="3"/>
        <v>t1.FUNC_ID        AS FuncId,</v>
      </c>
      <c r="L19" s="1" t="str">
        <f t="shared" si="4"/>
        <v>,FUNC_ID</v>
      </c>
      <c r="M19" s="1" t="str">
        <f t="shared" si="5"/>
        <v>,@FUNC_ID</v>
      </c>
      <c r="N19" s="1" t="str">
        <f t="shared" si="6"/>
        <v xml:space="preserve">FUNC_ID = @FUNC_ID, </v>
      </c>
      <c r="O19" s="1" t="str">
        <f t="shared" si="9"/>
        <v>error += ExcelUtil.CheckValue(excelVo.FuncId , "更新作業FunctionID", false, (null, null, 30), (true, false, false), (false, false));</v>
      </c>
      <c r="P19" s="1" t="str">
        <f t="shared" si="10"/>
        <v>excelVo.FuncId = StringUtil.IsNotEmpty(ExcelUtil.GetCell(sheet, i, j).ToString().TrimEnd())? ExcelUtil.GetCell(sheet, i, j).ToString().TrimEnd().ToUpper():"";j++;//更新作業FunctionID</v>
      </c>
      <c r="Q19" s="1" t="str">
        <f t="shared" si="11"/>
        <v>ExcelUtil.SetContent(sheet, row, column++, (string)item["funcId"]);</v>
      </c>
      <c r="R19" s="1" t="str">
        <f t="shared" si="12"/>
        <v>paramDt.Add("@FUNC_ID" , FuncId );//VARCHAR</v>
      </c>
      <c r="S19" s="1" t="str">
        <f t="shared" si="13"/>
        <v>paramDt.Add("@FUNC_ID" , master.FuncId );//更新作業FunctionID</v>
      </c>
      <c r="T19" s="1" t="str">
        <f t="shared" si="14"/>
        <v>{ name: 'funcId' , sort: 'FUNC_ID' },</v>
      </c>
      <c r="U19" s="1" t="str">
        <f t="shared" si="15"/>
        <v>"funcId":"更新作業FunctionID",</v>
      </c>
      <c r="V19" s="1" t="str">
        <f t="shared" si="16"/>
        <v>this.vo.funcId = '' ; //更新作業FunctionID</v>
      </c>
    </row>
    <row r="20" spans="1:22" ht="14.5" x14ac:dyDescent="0.4">
      <c r="A20" s="1" t="s">
        <v>43</v>
      </c>
      <c r="D20" s="1" t="s">
        <v>5</v>
      </c>
      <c r="E20" s="5">
        <v>20</v>
      </c>
      <c r="F20" s="1" t="str">
        <f t="shared" si="7"/>
        <v/>
      </c>
      <c r="G20" s="1" t="str">
        <f t="shared" si="0"/>
        <v/>
      </c>
      <c r="H20" s="1" t="str">
        <f t="shared" si="17"/>
        <v>string</v>
      </c>
      <c r="I20" s="1" t="str">
        <f t="shared" si="8"/>
        <v xml:space="preserve">///&lt;summary&gt;
///
///&lt;/summary&gt;
public string  {get; set;}
</v>
      </c>
      <c r="J20" s="1" t="str">
        <f t="shared" si="2"/>
        <v xml:space="preserve"> AND t1. = @</v>
      </c>
      <c r="K20" s="1" t="str">
        <f t="shared" si="3"/>
        <v>t1.        AS ,</v>
      </c>
      <c r="L20" s="1" t="str">
        <f t="shared" si="4"/>
        <v>,</v>
      </c>
      <c r="M20" s="1" t="str">
        <f t="shared" si="5"/>
        <v>,@</v>
      </c>
      <c r="N20" s="1" t="str">
        <f t="shared" si="6"/>
        <v xml:space="preserve"> = @, </v>
      </c>
      <c r="O20" s="1" t="str">
        <f t="shared" si="9"/>
        <v>error += ExcelUtil.CheckValue(excelVo. , "", false, (null, null, 20), (true, false, false), (false, false));</v>
      </c>
      <c r="P20" s="1" t="str">
        <f t="shared" si="10"/>
        <v>excelVo. = StringUtil.IsNotEmpty(ExcelUtil.GetCell(sheet, i, j).ToString().TrimEnd())? ExcelUtil.GetCell(sheet, i, j).ToString().TrimEnd().ToUpper():"";j++;//</v>
      </c>
      <c r="Q20" s="1" t="str">
        <f t="shared" si="11"/>
        <v>ExcelUtil.SetContent(sheet, row, column++, (string)item[""]);</v>
      </c>
      <c r="R20" s="1" t="str">
        <f t="shared" si="12"/>
        <v>paramDt.Add("@" ,  );//VARCHAR</v>
      </c>
      <c r="S20" s="1" t="str">
        <f t="shared" si="13"/>
        <v>paramDt.Add("@" , master. );//</v>
      </c>
      <c r="T20" s="1" t="str">
        <f t="shared" si="14"/>
        <v>{ name: '' , sort: '' },</v>
      </c>
      <c r="U20" s="1" t="str">
        <f t="shared" si="15"/>
        <v>"":"",</v>
      </c>
      <c r="V20" s="1" t="str">
        <f t="shared" si="16"/>
        <v>this.vo. = '' ; //</v>
      </c>
    </row>
    <row r="21" spans="1:22" ht="14.5" x14ac:dyDescent="0.4">
      <c r="A21" s="1" t="s">
        <v>43</v>
      </c>
      <c r="D21" s="1" t="s">
        <v>5</v>
      </c>
      <c r="E21" s="5">
        <v>8</v>
      </c>
      <c r="F21" s="1" t="str">
        <f t="shared" si="7"/>
        <v/>
      </c>
      <c r="G21" s="1" t="str">
        <f t="shared" si="0"/>
        <v/>
      </c>
      <c r="H21" s="1" t="str">
        <f t="shared" si="17"/>
        <v>string</v>
      </c>
      <c r="I21" s="1" t="str">
        <f t="shared" si="8"/>
        <v xml:space="preserve">///&lt;summary&gt;
///
///&lt;/summary&gt;
public string  {get; set;}
</v>
      </c>
      <c r="J21" s="1" t="str">
        <f t="shared" si="2"/>
        <v xml:space="preserve"> AND t1. = @</v>
      </c>
      <c r="K21" s="1" t="str">
        <f t="shared" si="3"/>
        <v>t1.        AS ,</v>
      </c>
      <c r="L21" s="1" t="str">
        <f t="shared" si="4"/>
        <v>,</v>
      </c>
      <c r="M21" s="1" t="str">
        <f t="shared" si="5"/>
        <v>,@</v>
      </c>
      <c r="N21" s="1" t="str">
        <f t="shared" si="6"/>
        <v xml:space="preserve"> = @, </v>
      </c>
      <c r="O21" s="1" t="str">
        <f t="shared" si="9"/>
        <v>error += ExcelUtil.CheckValue(excelVo. , "", false, (null, null, 8), (true, false, false), (false, false));</v>
      </c>
      <c r="P21" s="1" t="str">
        <f t="shared" si="10"/>
        <v>excelVo. = StringUtil.IsNotEmpty(ExcelUtil.GetCell(sheet, i, j).ToString().TrimEnd())? ExcelUtil.GetCell(sheet, i, j).ToString().TrimEnd().ToUpper():"";j++;//</v>
      </c>
      <c r="Q21" s="1" t="str">
        <f t="shared" si="11"/>
        <v>ExcelUtil.SetContent(sheet, row, column++, (string)item[""]);</v>
      </c>
      <c r="R21" s="1" t="str">
        <f t="shared" si="12"/>
        <v>paramDt.Add("@" ,  );//VARCHAR</v>
      </c>
      <c r="S21" s="1" t="str">
        <f t="shared" si="13"/>
        <v>paramDt.Add("@" , master. );//</v>
      </c>
      <c r="T21" s="1" t="str">
        <f t="shared" si="14"/>
        <v>{ name: '' , sort: '' },</v>
      </c>
      <c r="U21" s="1" t="str">
        <f t="shared" si="15"/>
        <v>"":"",</v>
      </c>
      <c r="V21" s="1" t="str">
        <f t="shared" si="16"/>
        <v>this.vo. = '' ; //</v>
      </c>
    </row>
    <row r="22" spans="1:22" ht="14.5" x14ac:dyDescent="0.4">
      <c r="A22" s="1" t="s">
        <v>43</v>
      </c>
      <c r="D22" s="1" t="s">
        <v>5</v>
      </c>
      <c r="E22" s="5">
        <v>8</v>
      </c>
      <c r="F22" s="1" t="str">
        <f t="shared" si="7"/>
        <v/>
      </c>
      <c r="G22" s="1" t="str">
        <f t="shared" si="0"/>
        <v/>
      </c>
      <c r="H22" s="1" t="str">
        <f t="shared" si="17"/>
        <v>string</v>
      </c>
      <c r="I22" s="1" t="str">
        <f t="shared" si="8"/>
        <v xml:space="preserve">///&lt;summary&gt;
///
///&lt;/summary&gt;
public string  {get; set;}
</v>
      </c>
      <c r="J22" s="1" t="str">
        <f t="shared" si="2"/>
        <v xml:space="preserve"> AND t1. = @</v>
      </c>
      <c r="K22" s="1" t="str">
        <f t="shared" si="3"/>
        <v>t1.        AS ,</v>
      </c>
      <c r="L22" s="1" t="str">
        <f t="shared" si="4"/>
        <v>,</v>
      </c>
      <c r="M22" s="1" t="str">
        <f t="shared" si="5"/>
        <v>,@</v>
      </c>
      <c r="N22" s="1" t="str">
        <f t="shared" si="6"/>
        <v xml:space="preserve"> = @, </v>
      </c>
      <c r="O22" s="1" t="str">
        <f t="shared" si="9"/>
        <v>error += ExcelUtil.CheckValue(excelVo. , "", false, (null, null, 8), (true, false, false), (false, false));</v>
      </c>
      <c r="P22" s="1" t="str">
        <f t="shared" si="10"/>
        <v>excelVo. = StringUtil.IsNotEmpty(ExcelUtil.GetCell(sheet, i, j).ToString().TrimEnd())? ExcelUtil.GetCell(sheet, i, j).ToString().TrimEnd().ToUpper():"";j++;//</v>
      </c>
      <c r="Q22" s="1" t="str">
        <f t="shared" si="11"/>
        <v>ExcelUtil.SetContent(sheet, row, column++, (string)item[""]);</v>
      </c>
      <c r="R22" s="1" t="str">
        <f t="shared" si="12"/>
        <v>paramDt.Add("@" ,  );//VARCHAR</v>
      </c>
      <c r="S22" s="1" t="str">
        <f t="shared" si="13"/>
        <v>paramDt.Add("@" , master. );//</v>
      </c>
      <c r="T22" s="1" t="str">
        <f t="shared" si="14"/>
        <v>{ name: '' , sort: '' },</v>
      </c>
      <c r="U22" s="1" t="str">
        <f t="shared" si="15"/>
        <v>"":"",</v>
      </c>
      <c r="V22" s="1" t="str">
        <f t="shared" si="16"/>
        <v>this.vo. = '' ; //</v>
      </c>
    </row>
    <row r="23" spans="1:22" ht="14.5" x14ac:dyDescent="0.4">
      <c r="A23" s="1" t="s">
        <v>43</v>
      </c>
      <c r="D23" s="1" t="s">
        <v>30</v>
      </c>
      <c r="E23" s="5">
        <v>50</v>
      </c>
      <c r="F23" s="1" t="str">
        <f t="shared" si="7"/>
        <v/>
      </c>
      <c r="G23" s="1" t="str">
        <f t="shared" si="0"/>
        <v/>
      </c>
      <c r="H23" s="1" t="str">
        <f t="shared" si="17"/>
        <v>string</v>
      </c>
      <c r="I23" s="1" t="str">
        <f t="shared" si="8"/>
        <v xml:space="preserve">///&lt;summary&gt;
///
///&lt;/summary&gt;
public string  {get; set;}
</v>
      </c>
      <c r="J23" s="1" t="str">
        <f t="shared" si="2"/>
        <v xml:space="preserve"> AND t1. = @</v>
      </c>
      <c r="K23" s="1" t="str">
        <f t="shared" si="3"/>
        <v>t1.        AS ,</v>
      </c>
      <c r="L23" s="1" t="str">
        <f t="shared" si="4"/>
        <v>,</v>
      </c>
      <c r="M23" s="1" t="str">
        <f t="shared" si="5"/>
        <v>,@</v>
      </c>
      <c r="N23" s="1" t="str">
        <f t="shared" si="6"/>
        <v xml:space="preserve"> = @, </v>
      </c>
      <c r="O23" s="1" t="str">
        <f t="shared" si="9"/>
        <v>error += ExcelUtil.CheckValue(excelVo. , "", false, (null, null, 50), (true, false, false), (false, false));</v>
      </c>
      <c r="P23" s="1" t="str">
        <f t="shared" si="10"/>
        <v>excelVo. = StringUtil.IsNotEmpty(ExcelUtil.GetCell(sheet, i, j).ToString().TrimEnd())? ExcelUtil.GetCell(sheet, i, j).ToString().TrimEnd().ToUpper():"";j++;//</v>
      </c>
      <c r="Q23" s="1" t="str">
        <f t="shared" si="11"/>
        <v>ExcelUtil.SetContent(sheet, row, column++, (string)item[""]);</v>
      </c>
      <c r="R23" s="1" t="str">
        <f t="shared" si="12"/>
        <v>paramDt.Add("@" ,  );//NVARCHAR</v>
      </c>
      <c r="S23" s="1" t="str">
        <f t="shared" si="13"/>
        <v>paramDt.Add("@" , master. );//</v>
      </c>
      <c r="T23" s="1" t="str">
        <f t="shared" si="14"/>
        <v>{ name: '' , sort: '' },</v>
      </c>
      <c r="U23" s="1" t="str">
        <f t="shared" si="15"/>
        <v>"":"",</v>
      </c>
      <c r="V23" s="1" t="str">
        <f t="shared" si="16"/>
        <v>this.vo. = '' ; //</v>
      </c>
    </row>
    <row r="24" spans="1:22" ht="14.5" x14ac:dyDescent="0.4">
      <c r="A24" s="1" t="s">
        <v>43</v>
      </c>
      <c r="D24" s="1" t="s">
        <v>5</v>
      </c>
      <c r="E24" s="5">
        <v>20</v>
      </c>
      <c r="F24" s="1" t="str">
        <f t="shared" si="7"/>
        <v/>
      </c>
      <c r="G24" s="1" t="str">
        <f t="shared" si="0"/>
        <v/>
      </c>
      <c r="H24" s="1" t="str">
        <f t="shared" si="17"/>
        <v>string</v>
      </c>
      <c r="I24" s="1" t="str">
        <f t="shared" si="8"/>
        <v xml:space="preserve">///&lt;summary&gt;
///
///&lt;/summary&gt;
public string  {get; set;}
</v>
      </c>
      <c r="J24" s="1" t="str">
        <f t="shared" si="2"/>
        <v xml:space="preserve"> AND t1. = @</v>
      </c>
      <c r="K24" s="1" t="str">
        <f t="shared" si="3"/>
        <v>t1.        AS ,</v>
      </c>
      <c r="L24" s="1" t="str">
        <f t="shared" si="4"/>
        <v>,</v>
      </c>
      <c r="M24" s="1" t="str">
        <f t="shared" si="5"/>
        <v>,@</v>
      </c>
      <c r="N24" s="1" t="str">
        <f t="shared" si="6"/>
        <v xml:space="preserve"> = @, </v>
      </c>
      <c r="O24" s="1" t="str">
        <f t="shared" si="9"/>
        <v>error += ExcelUtil.CheckValue(excelVo. , "", false, (null, null, 20), (true, false, false), (false, false));</v>
      </c>
      <c r="P24" s="1" t="str">
        <f t="shared" si="10"/>
        <v>excelVo. = StringUtil.IsNotEmpty(ExcelUtil.GetCell(sheet, i, j).ToString().TrimEnd())? ExcelUtil.GetCell(sheet, i, j).ToString().TrimEnd().ToUpper():"";j++;//</v>
      </c>
      <c r="Q24" s="1" t="str">
        <f t="shared" si="11"/>
        <v>ExcelUtil.SetContent(sheet, row, column++, (string)item[""]);</v>
      </c>
      <c r="R24" s="1" t="str">
        <f t="shared" si="12"/>
        <v>paramDt.Add("@" ,  );//VARCHAR</v>
      </c>
      <c r="S24" s="1" t="str">
        <f t="shared" si="13"/>
        <v>paramDt.Add("@" , master. );//</v>
      </c>
      <c r="T24" s="1" t="str">
        <f t="shared" si="14"/>
        <v>{ name: '' , sort: '' },</v>
      </c>
      <c r="U24" s="1" t="str">
        <f t="shared" si="15"/>
        <v>"":"",</v>
      </c>
      <c r="V24" s="1" t="str">
        <f t="shared" si="16"/>
        <v>this.vo. = '' ; //</v>
      </c>
    </row>
    <row r="25" spans="1:22" ht="14.5" x14ac:dyDescent="0.4">
      <c r="A25" s="1" t="s">
        <v>43</v>
      </c>
      <c r="D25" s="1" t="s">
        <v>9</v>
      </c>
      <c r="E25" s="5"/>
      <c r="F25" s="1" t="str">
        <f t="shared" si="7"/>
        <v/>
      </c>
      <c r="G25" s="1" t="str">
        <f t="shared" si="0"/>
        <v/>
      </c>
      <c r="H25" s="1" t="str">
        <f t="shared" si="17"/>
        <v>DateTime?</v>
      </c>
      <c r="I25" s="1" t="str">
        <f t="shared" si="8"/>
        <v xml:space="preserve">///&lt;summary&gt;
///
///&lt;/summary&gt;
public DateTime?  {get; set;}
</v>
      </c>
      <c r="J25" s="1" t="str">
        <f t="shared" si="2"/>
        <v xml:space="preserve"> AND t1. = @</v>
      </c>
      <c r="K25" s="1" t="str">
        <f t="shared" si="3"/>
        <v>t1.        AS ,</v>
      </c>
      <c r="L25" s="1" t="str">
        <f t="shared" si="4"/>
        <v>,</v>
      </c>
      <c r="M25" s="1" t="str">
        <f t="shared" si="5"/>
        <v>,@</v>
      </c>
      <c r="N25" s="1" t="str">
        <f t="shared" si="6"/>
        <v xml:space="preserve"> = @, </v>
      </c>
      <c r="O25" s="1" t="str">
        <f t="shared" si="9"/>
        <v>error += ExcelUtil.CheckValue(excelVo. , "", false, (null, null, ), (true, false, false), (false, false));</v>
      </c>
      <c r="P25" s="1" t="str">
        <f t="shared" si="10"/>
        <v>excelVo. = StringUtil.IsNotEmpty(ExcelUtil.GetCell(sheet, i, j).ToString().TrimEnd())? ExcelUtil.GetCell(sheet, i, j).ToString().TrimEnd().ToUpper():"";j++;//</v>
      </c>
      <c r="Q25" s="1" t="str">
        <f t="shared" si="11"/>
        <v>ExcelUtil.SetContent(sheet, row, column++, (string)item[""]);</v>
      </c>
      <c r="R25" s="1" t="str">
        <f t="shared" si="12"/>
        <v>paramDt.Add("@" ,  );//DATETIME</v>
      </c>
      <c r="S25" s="1" t="str">
        <f t="shared" si="13"/>
        <v>paramDt.Add("@" , master. );//</v>
      </c>
      <c r="T25" s="1" t="str">
        <f t="shared" si="14"/>
        <v>{ name: '' , sort: '' },</v>
      </c>
      <c r="U25" s="1" t="str">
        <f t="shared" si="15"/>
        <v>"":"",</v>
      </c>
      <c r="V25" s="1" t="str">
        <f t="shared" si="16"/>
        <v>this.vo. = '' ; //</v>
      </c>
    </row>
    <row r="26" spans="1:22" ht="14.5" x14ac:dyDescent="0.4">
      <c r="A26" s="1" t="s">
        <v>43</v>
      </c>
      <c r="D26" s="1" t="s">
        <v>5</v>
      </c>
      <c r="E26" s="5">
        <v>20</v>
      </c>
      <c r="F26" s="1" t="str">
        <f t="shared" si="7"/>
        <v/>
      </c>
      <c r="G26" s="1" t="str">
        <f t="shared" si="0"/>
        <v/>
      </c>
      <c r="H26" s="1" t="str">
        <f t="shared" si="17"/>
        <v>string</v>
      </c>
      <c r="I26" s="1" t="str">
        <f t="shared" si="8"/>
        <v xml:space="preserve">///&lt;summary&gt;
///
///&lt;/summary&gt;
public string  {get; set;}
</v>
      </c>
      <c r="J26" s="1" t="str">
        <f t="shared" si="2"/>
        <v xml:space="preserve"> AND t1. = @</v>
      </c>
      <c r="K26" s="1" t="str">
        <f t="shared" si="3"/>
        <v>t1.        AS ,</v>
      </c>
      <c r="L26" s="1" t="str">
        <f t="shared" si="4"/>
        <v>,</v>
      </c>
      <c r="M26" s="1" t="str">
        <f t="shared" si="5"/>
        <v>,@</v>
      </c>
      <c r="N26" s="1" t="str">
        <f t="shared" si="6"/>
        <v xml:space="preserve"> = @, </v>
      </c>
      <c r="O26" s="1" t="str">
        <f t="shared" si="9"/>
        <v>error += ExcelUtil.CheckValue(excelVo. , "", false, (null, null, 20), (true, false, false), (false, false));</v>
      </c>
      <c r="P26" s="1" t="str">
        <f t="shared" si="10"/>
        <v>excelVo. = StringUtil.IsNotEmpty(ExcelUtil.GetCell(sheet, i, j).ToString().TrimEnd())? ExcelUtil.GetCell(sheet, i, j).ToString().TrimEnd().ToUpper():"";j++;//</v>
      </c>
      <c r="Q26" s="1" t="str">
        <f t="shared" si="11"/>
        <v>ExcelUtil.SetContent(sheet, row, column++, (string)item[""]);</v>
      </c>
      <c r="R26" s="1" t="str">
        <f t="shared" si="12"/>
        <v>paramDt.Add("@" ,  );//VARCHAR</v>
      </c>
      <c r="S26" s="1" t="str">
        <f t="shared" si="13"/>
        <v>paramDt.Add("@" , master. );//</v>
      </c>
      <c r="T26" s="1" t="str">
        <f t="shared" si="14"/>
        <v>{ name: '' , sort: '' },</v>
      </c>
      <c r="U26" s="1" t="str">
        <f t="shared" si="15"/>
        <v>"":"",</v>
      </c>
      <c r="V26" s="1" t="str">
        <f t="shared" si="16"/>
        <v>this.vo. = '' ; //</v>
      </c>
    </row>
    <row r="27" spans="1:22" ht="14.5" x14ac:dyDescent="0.4">
      <c r="A27" s="1" t="s">
        <v>43</v>
      </c>
      <c r="D27" s="1" t="s">
        <v>9</v>
      </c>
      <c r="E27" s="5"/>
      <c r="F27" s="1" t="str">
        <f t="shared" si="7"/>
        <v/>
      </c>
      <c r="G27" s="1" t="str">
        <f t="shared" si="0"/>
        <v/>
      </c>
      <c r="H27" s="1" t="str">
        <f t="shared" si="17"/>
        <v>DateTime?</v>
      </c>
      <c r="I27" s="1" t="str">
        <f t="shared" si="8"/>
        <v xml:space="preserve">///&lt;summary&gt;
///
///&lt;/summary&gt;
public DateTime?  {get; set;}
</v>
      </c>
      <c r="J27" s="1" t="str">
        <f t="shared" si="2"/>
        <v xml:space="preserve"> AND t1. = @</v>
      </c>
      <c r="K27" s="1" t="str">
        <f t="shared" si="3"/>
        <v>t1.        AS ,</v>
      </c>
      <c r="L27" s="1" t="str">
        <f t="shared" si="4"/>
        <v>,</v>
      </c>
      <c r="M27" s="1" t="str">
        <f t="shared" si="5"/>
        <v>,@</v>
      </c>
      <c r="N27" s="1" t="str">
        <f t="shared" si="6"/>
        <v xml:space="preserve"> = @, </v>
      </c>
      <c r="O27" s="1" t="str">
        <f t="shared" si="9"/>
        <v>error += ExcelUtil.CheckValue(excelVo. , "", false, (null, null, ), (true, false, false), (false, false));</v>
      </c>
      <c r="P27" s="1" t="str">
        <f t="shared" si="10"/>
        <v>excelVo. = StringUtil.IsNotEmpty(ExcelUtil.GetCell(sheet, i, j).ToString().TrimEnd())? ExcelUtil.GetCell(sheet, i, j).ToString().TrimEnd().ToUpper():"";j++;//</v>
      </c>
      <c r="Q27" s="1" t="str">
        <f t="shared" si="11"/>
        <v>ExcelUtil.SetContent(sheet, row, column++, (string)item[""]);</v>
      </c>
      <c r="R27" s="1" t="str">
        <f t="shared" si="12"/>
        <v>paramDt.Add("@" ,  );//DATETIME</v>
      </c>
      <c r="S27" s="1" t="str">
        <f t="shared" si="13"/>
        <v>paramDt.Add("@" , master. );//</v>
      </c>
      <c r="T27" s="1" t="str">
        <f t="shared" si="14"/>
        <v>{ name: '' , sort: '' },</v>
      </c>
      <c r="U27" s="1" t="str">
        <f t="shared" si="15"/>
        <v>"":"",</v>
      </c>
      <c r="V27" s="1" t="str">
        <f t="shared" si="16"/>
        <v>this.vo. = '' ; //</v>
      </c>
    </row>
    <row r="28" spans="1:22" ht="14.5" x14ac:dyDescent="0.4">
      <c r="A28" s="1" t="s">
        <v>43</v>
      </c>
      <c r="D28" s="1" t="s">
        <v>5</v>
      </c>
      <c r="E28" s="5">
        <v>30</v>
      </c>
      <c r="F28" s="1" t="str">
        <f t="shared" si="7"/>
        <v/>
      </c>
      <c r="G28" s="1" t="str">
        <f t="shared" si="0"/>
        <v/>
      </c>
      <c r="H28" s="1" t="str">
        <f t="shared" si="17"/>
        <v>string</v>
      </c>
      <c r="I28" s="1" t="str">
        <f t="shared" si="8"/>
        <v xml:space="preserve">///&lt;summary&gt;
///
///&lt;/summary&gt;
public string  {get; set;}
</v>
      </c>
      <c r="J28" s="1" t="str">
        <f t="shared" si="2"/>
        <v xml:space="preserve"> AND t1. = @</v>
      </c>
      <c r="K28" s="1" t="str">
        <f t="shared" si="3"/>
        <v>t1.        AS ,</v>
      </c>
      <c r="L28" s="1" t="str">
        <f t="shared" si="4"/>
        <v>,</v>
      </c>
      <c r="M28" s="1" t="str">
        <f t="shared" si="5"/>
        <v>,@</v>
      </c>
      <c r="N28" s="1" t="str">
        <f t="shared" si="6"/>
        <v xml:space="preserve"> = @, </v>
      </c>
      <c r="O28" s="1" t="str">
        <f t="shared" si="9"/>
        <v>error += ExcelUtil.CheckValue(excelVo. , "", false, (null, null, 30), (true, false, false), (false, false));</v>
      </c>
      <c r="P28" s="1" t="str">
        <f t="shared" si="10"/>
        <v>excelVo. = StringUtil.IsNotEmpty(ExcelUtil.GetCell(sheet, i, j).ToString().TrimEnd())? ExcelUtil.GetCell(sheet, i, j).ToString().TrimEnd().ToUpper():"";j++;//</v>
      </c>
      <c r="Q28" s="1" t="str">
        <f t="shared" si="11"/>
        <v>ExcelUtil.SetContent(sheet, row, column++, (string)item[""]);</v>
      </c>
      <c r="R28" s="1" t="str">
        <f t="shared" si="12"/>
        <v>paramDt.Add("@" ,  );//VARCHAR</v>
      </c>
      <c r="S28" s="1" t="str">
        <f t="shared" si="13"/>
        <v>paramDt.Add("@" , master. );//</v>
      </c>
      <c r="T28" s="1" t="str">
        <f t="shared" si="14"/>
        <v>{ name: '' , sort: '' },</v>
      </c>
      <c r="U28" s="1" t="str">
        <f t="shared" si="15"/>
        <v>"":"",</v>
      </c>
      <c r="V28" s="1" t="str">
        <f t="shared" si="16"/>
        <v>this.vo. = '' ; //</v>
      </c>
    </row>
    <row r="29" spans="1:22" ht="14.5" x14ac:dyDescent="0.4">
      <c r="A29" s="1" t="s">
        <v>43</v>
      </c>
      <c r="D29" s="1" t="s">
        <v>5</v>
      </c>
      <c r="E29" s="5">
        <v>30</v>
      </c>
      <c r="F29" s="1" t="str">
        <f t="shared" si="7"/>
        <v/>
      </c>
      <c r="G29" s="1" t="str">
        <f t="shared" si="0"/>
        <v/>
      </c>
      <c r="H29" s="1" t="str">
        <f t="shared" si="17"/>
        <v>string</v>
      </c>
      <c r="I29" s="1" t="str">
        <f t="shared" si="8"/>
        <v xml:space="preserve">///&lt;summary&gt;
///
///&lt;/summary&gt;
public string  {get; set;}
</v>
      </c>
      <c r="J29" s="1" t="str">
        <f t="shared" si="2"/>
        <v xml:space="preserve"> AND t1. = @</v>
      </c>
      <c r="K29" s="1" t="str">
        <f t="shared" si="3"/>
        <v>t1.        AS ,</v>
      </c>
      <c r="L29" s="1" t="str">
        <f t="shared" si="4"/>
        <v>,</v>
      </c>
      <c r="M29" s="1" t="str">
        <f t="shared" si="5"/>
        <v>,@</v>
      </c>
      <c r="N29" s="1" t="str">
        <f t="shared" si="6"/>
        <v xml:space="preserve"> = @, </v>
      </c>
      <c r="O29" s="1" t="str">
        <f t="shared" si="9"/>
        <v>error += ExcelUtil.CheckValue(excelVo. , "", false, (null, null, 30), (true, false, false), (false, false));</v>
      </c>
      <c r="P29" s="1" t="str">
        <f t="shared" si="10"/>
        <v>excelVo. = StringUtil.IsNotEmpty(ExcelUtil.GetCell(sheet, i, j).ToString().TrimEnd())? ExcelUtil.GetCell(sheet, i, j).ToString().TrimEnd().ToUpper():"";j++;//</v>
      </c>
      <c r="Q29" s="1" t="str">
        <f t="shared" si="11"/>
        <v>ExcelUtil.SetContent(sheet, row, column++, (string)item[""]);</v>
      </c>
      <c r="R29" s="1" t="str">
        <f t="shared" si="12"/>
        <v>paramDt.Add("@" ,  );//VARCHAR</v>
      </c>
      <c r="S29" s="1" t="str">
        <f t="shared" si="13"/>
        <v>paramDt.Add("@" , master. );//</v>
      </c>
      <c r="T29" s="1" t="str">
        <f t="shared" si="14"/>
        <v>{ name: '' , sort: '' },</v>
      </c>
      <c r="U29" s="1" t="str">
        <f t="shared" si="15"/>
        <v>"":"",</v>
      </c>
      <c r="V29" s="1" t="str">
        <f t="shared" si="16"/>
        <v>this.vo. = '' ; //</v>
      </c>
    </row>
    <row r="30" spans="1:22" x14ac:dyDescent="0.4">
      <c r="A30" s="1" t="s">
        <v>43</v>
      </c>
      <c r="D30" s="1" t="s">
        <v>5</v>
      </c>
      <c r="H30" s="1" t="str">
        <f t="shared" si="17"/>
        <v>string</v>
      </c>
      <c r="I30" s="1" t="str">
        <f t="shared" si="8"/>
        <v xml:space="preserve">///&lt;summary&gt;
///
///&lt;/summary&gt;
public string  {get; set;}
</v>
      </c>
      <c r="J30" s="1" t="str">
        <f t="shared" si="2"/>
        <v xml:space="preserve"> AND t1. = @</v>
      </c>
      <c r="K30" s="1" t="str">
        <f t="shared" si="3"/>
        <v>t1.        AS ,</v>
      </c>
      <c r="L30" s="1" t="str">
        <f t="shared" si="4"/>
        <v>,</v>
      </c>
      <c r="M30" s="1" t="str">
        <f t="shared" si="5"/>
        <v>,@</v>
      </c>
      <c r="N30" s="1" t="str">
        <f t="shared" si="6"/>
        <v xml:space="preserve"> = @, </v>
      </c>
      <c r="O30" s="1" t="str">
        <f t="shared" si="9"/>
        <v>error += ExcelUtil.CheckValue(excelVo. , "", false, (null, null, ), (true, false, false), (false, false));</v>
      </c>
      <c r="P30" s="1" t="str">
        <f t="shared" si="10"/>
        <v>excelVo. = StringUtil.IsNotEmpty(ExcelUtil.GetCell(sheet, i, j).ToString().TrimEnd())? ExcelUtil.GetCell(sheet, i, j).ToString().TrimEnd().ToUpper():"";j++;//</v>
      </c>
      <c r="Q30" s="1" t="str">
        <f t="shared" si="11"/>
        <v>ExcelUtil.SetContent(sheet, row, column++, (string)item[""]);</v>
      </c>
      <c r="R30" s="1" t="str">
        <f t="shared" si="12"/>
        <v>paramDt.Add("@" ,  );//VARCHAR</v>
      </c>
      <c r="S30" s="1" t="str">
        <f t="shared" si="13"/>
        <v>paramDt.Add("@" , master. );//</v>
      </c>
      <c r="T30" s="1" t="str">
        <f t="shared" ref="T30:T88" si="18">"{ name: '"&amp;F30&amp;"' , sort: '"&amp;F30&amp;"' },"</f>
        <v>{ name: '' , sort: '' },</v>
      </c>
      <c r="U30" s="1" t="str">
        <f t="shared" si="15"/>
        <v>"":"",</v>
      </c>
      <c r="V30" s="1" t="str">
        <f t="shared" si="16"/>
        <v>this.vo. = '' ; //</v>
      </c>
    </row>
    <row r="31" spans="1:22" x14ac:dyDescent="0.4">
      <c r="A31" s="1" t="s">
        <v>43</v>
      </c>
      <c r="D31" s="1" t="s">
        <v>5</v>
      </c>
      <c r="H31" s="1" t="str">
        <f t="shared" si="17"/>
        <v>string</v>
      </c>
      <c r="I31" s="1" t="str">
        <f t="shared" si="8"/>
        <v xml:space="preserve">///&lt;summary&gt;
///
///&lt;/summary&gt;
public string  {get; set;}
</v>
      </c>
      <c r="J31" s="1" t="str">
        <f t="shared" si="2"/>
        <v xml:space="preserve"> AND t1. = @</v>
      </c>
      <c r="K31" s="1" t="str">
        <f t="shared" si="3"/>
        <v>t1.        AS ,</v>
      </c>
      <c r="L31" s="1" t="str">
        <f t="shared" si="4"/>
        <v>,</v>
      </c>
      <c r="M31" s="1" t="str">
        <f t="shared" si="5"/>
        <v>,@</v>
      </c>
      <c r="N31" s="1" t="str">
        <f t="shared" si="6"/>
        <v xml:space="preserve"> = @, </v>
      </c>
      <c r="O31" s="1" t="str">
        <f t="shared" si="9"/>
        <v>error += ExcelUtil.CheckValue(excelVo. , "", false, (null, null, ), (true, false, false), (false, false));</v>
      </c>
      <c r="P31" s="1" t="str">
        <f t="shared" si="10"/>
        <v>excelVo. = StringUtil.IsNotEmpty(ExcelUtil.GetCell(sheet, i, j).ToString().TrimEnd())? ExcelUtil.GetCell(sheet, i, j).ToString().TrimEnd().ToUpper():"";j++;//</v>
      </c>
      <c r="Q31" s="1" t="str">
        <f t="shared" si="11"/>
        <v>ExcelUtil.SetContent(sheet, row, column++, (string)item[""]);</v>
      </c>
      <c r="R31" s="1" t="str">
        <f t="shared" si="12"/>
        <v>paramDt.Add("@" ,  );//VARCHAR</v>
      </c>
      <c r="S31" s="1" t="str">
        <f t="shared" si="13"/>
        <v>paramDt.Add("@" , master. );//</v>
      </c>
      <c r="T31" s="1" t="str">
        <f t="shared" si="18"/>
        <v>{ name: '' , sort: '' },</v>
      </c>
      <c r="U31" s="1" t="str">
        <f t="shared" si="15"/>
        <v>"":"",</v>
      </c>
      <c r="V31" s="1" t="str">
        <f t="shared" si="16"/>
        <v>this.vo. = '' ; //</v>
      </c>
    </row>
    <row r="32" spans="1:22" x14ac:dyDescent="0.4">
      <c r="A32" s="1" t="s">
        <v>43</v>
      </c>
      <c r="D32" s="1" t="s">
        <v>5</v>
      </c>
      <c r="H32" s="1" t="str">
        <f t="shared" si="17"/>
        <v>string</v>
      </c>
      <c r="I32" s="1" t="str">
        <f t="shared" si="8"/>
        <v xml:space="preserve">///&lt;summary&gt;
///
///&lt;/summary&gt;
public string  {get; set;}
</v>
      </c>
      <c r="J32" s="1" t="str">
        <f t="shared" si="2"/>
        <v xml:space="preserve"> AND t1. = @</v>
      </c>
      <c r="K32" s="1" t="str">
        <f t="shared" si="3"/>
        <v>t1.        AS ,</v>
      </c>
      <c r="L32" s="1" t="str">
        <f t="shared" si="4"/>
        <v>,</v>
      </c>
      <c r="M32" s="1" t="str">
        <f t="shared" si="5"/>
        <v>,@</v>
      </c>
      <c r="N32" s="1" t="str">
        <f t="shared" si="6"/>
        <v xml:space="preserve"> = @, </v>
      </c>
      <c r="O32" s="1" t="str">
        <f t="shared" si="9"/>
        <v>error += ExcelUtil.CheckValue(excelVo. , "", false, (null, null, ), (true, false, false), (false, false));</v>
      </c>
      <c r="P32" s="1" t="str">
        <f t="shared" si="10"/>
        <v>excelVo. = StringUtil.IsNotEmpty(ExcelUtil.GetCell(sheet, i, j).ToString().TrimEnd())? ExcelUtil.GetCell(sheet, i, j).ToString().TrimEnd().ToUpper():"";j++;//</v>
      </c>
      <c r="Q32" s="1" t="str">
        <f t="shared" si="11"/>
        <v>ExcelUtil.SetContent(sheet, row, column++, (string)item[""]);</v>
      </c>
      <c r="R32" s="1" t="str">
        <f t="shared" si="12"/>
        <v>paramDt.Add("@" ,  );//VARCHAR</v>
      </c>
      <c r="S32" s="1" t="str">
        <f t="shared" si="13"/>
        <v>paramDt.Add("@" , master. );//</v>
      </c>
      <c r="T32" s="1" t="str">
        <f t="shared" si="18"/>
        <v>{ name: '' , sort: '' },</v>
      </c>
      <c r="U32" s="1" t="str">
        <f t="shared" si="15"/>
        <v>"":"",</v>
      </c>
      <c r="V32" s="1" t="str">
        <f t="shared" si="16"/>
        <v>this.vo. = '' ; //</v>
      </c>
    </row>
    <row r="33" spans="1:22" x14ac:dyDescent="0.4">
      <c r="A33" s="1" t="s">
        <v>43</v>
      </c>
      <c r="D33" s="1" t="s">
        <v>6</v>
      </c>
      <c r="H33" s="1" t="str">
        <f t="shared" si="17"/>
        <v>decimal?</v>
      </c>
      <c r="I33" s="1" t="str">
        <f t="shared" si="8"/>
        <v xml:space="preserve">///&lt;summary&gt;
///
///&lt;/summary&gt;
public decimal?  {get; set;}
</v>
      </c>
      <c r="J33" s="1" t="str">
        <f t="shared" si="2"/>
        <v xml:space="preserve"> AND t1. = @</v>
      </c>
      <c r="K33" s="1" t="str">
        <f t="shared" si="3"/>
        <v>t1.        AS ,</v>
      </c>
      <c r="L33" s="1" t="str">
        <f t="shared" si="4"/>
        <v>,</v>
      </c>
      <c r="M33" s="1" t="str">
        <f t="shared" si="5"/>
        <v>,@</v>
      </c>
      <c r="N33" s="1" t="str">
        <f t="shared" si="6"/>
        <v xml:space="preserve"> = @, </v>
      </c>
      <c r="O33" s="1" t="str">
        <f t="shared" si="9"/>
        <v>error += ExcelUtil.CheckValue(excelVo..ToString()  , "", false, (null, null, ), (false, false, true), (false, false));</v>
      </c>
      <c r="P33" s="1" t="str">
        <f t="shared" si="10"/>
        <v>excelVo. = StringUtil.IsNotEmpty(ExcelUtil.GetCell(sheet, i, j).ToString().TrimEnd())? ExcelUtil.GetCell(sheet, i, j).ToString().TrimEnd().ToUpper():"";j++;//</v>
      </c>
      <c r="Q33" s="1" t="str">
        <f t="shared" si="11"/>
        <v>ExcelUtil.SetContent(sheet, row, column++, (string)item[""]);</v>
      </c>
      <c r="R33" s="1" t="str">
        <f t="shared" si="12"/>
        <v>paramDt.Add("@" ,  );//DECIMAL</v>
      </c>
      <c r="S33" s="1" t="str">
        <f t="shared" si="13"/>
        <v>paramDt.Add("@" , master. );//</v>
      </c>
      <c r="T33" s="1" t="str">
        <f t="shared" si="18"/>
        <v>{ name: '' , sort: '' },</v>
      </c>
      <c r="U33" s="1" t="str">
        <f t="shared" si="15"/>
        <v>"":"",</v>
      </c>
      <c r="V33" s="1" t="str">
        <f t="shared" si="16"/>
        <v>this.vo. = 0 ; //</v>
      </c>
    </row>
    <row r="34" spans="1:22" x14ac:dyDescent="0.4">
      <c r="A34" s="1" t="s">
        <v>43</v>
      </c>
      <c r="D34" s="1" t="s">
        <v>5</v>
      </c>
      <c r="H34" s="1" t="str">
        <f t="shared" si="17"/>
        <v>string</v>
      </c>
      <c r="I34" s="1" t="str">
        <f t="shared" si="8"/>
        <v xml:space="preserve">///&lt;summary&gt;
///
///&lt;/summary&gt;
public string  {get; set;}
</v>
      </c>
      <c r="J34" s="1" t="str">
        <f t="shared" si="2"/>
        <v xml:space="preserve"> AND t1. = @</v>
      </c>
      <c r="K34" s="1" t="str">
        <f t="shared" si="3"/>
        <v>t1.        AS ,</v>
      </c>
      <c r="L34" s="1" t="str">
        <f t="shared" si="4"/>
        <v>,</v>
      </c>
      <c r="M34" s="1" t="str">
        <f t="shared" si="5"/>
        <v>,@</v>
      </c>
      <c r="N34" s="1" t="str">
        <f t="shared" si="6"/>
        <v xml:space="preserve"> = @, </v>
      </c>
      <c r="O34" s="1" t="str">
        <f t="shared" si="9"/>
        <v>error += ExcelUtil.CheckValue(excelVo. , "", false, (null, null, ), (true, false, false), (false, false));</v>
      </c>
      <c r="P34" s="1" t="str">
        <f t="shared" si="10"/>
        <v>excelVo. = StringUtil.IsNotEmpty(ExcelUtil.GetCell(sheet, i, j).ToString().TrimEnd())? ExcelUtil.GetCell(sheet, i, j).ToString().TrimEnd().ToUpper():"";j++;//</v>
      </c>
      <c r="Q34" s="1" t="str">
        <f t="shared" si="11"/>
        <v>ExcelUtil.SetContent(sheet, row, column++, (string)item[""]);</v>
      </c>
      <c r="R34" s="1" t="str">
        <f t="shared" si="12"/>
        <v>paramDt.Add("@" ,  );//VARCHAR</v>
      </c>
      <c r="S34" s="1" t="str">
        <f t="shared" si="13"/>
        <v>paramDt.Add("@" , master. );//</v>
      </c>
      <c r="T34" s="1" t="str">
        <f t="shared" si="18"/>
        <v>{ name: '' , sort: '' },</v>
      </c>
      <c r="U34" s="1" t="str">
        <f t="shared" si="15"/>
        <v>"":"",</v>
      </c>
      <c r="V34" s="1" t="str">
        <f t="shared" si="16"/>
        <v>this.vo. = '' ; //</v>
      </c>
    </row>
    <row r="35" spans="1:22" x14ac:dyDescent="0.4">
      <c r="A35" s="1" t="s">
        <v>43</v>
      </c>
      <c r="D35" s="1" t="s">
        <v>5</v>
      </c>
      <c r="H35" s="1" t="str">
        <f t="shared" si="17"/>
        <v>string</v>
      </c>
      <c r="I35" s="1" t="str">
        <f t="shared" si="8"/>
        <v xml:space="preserve">///&lt;summary&gt;
///
///&lt;/summary&gt;
public string  {get; set;}
</v>
      </c>
      <c r="J35" s="1" t="str">
        <f t="shared" si="2"/>
        <v xml:space="preserve"> AND t1. = @</v>
      </c>
      <c r="K35" s="1" t="str">
        <f t="shared" si="3"/>
        <v>t1.        AS ,</v>
      </c>
      <c r="L35" s="1" t="str">
        <f t="shared" si="4"/>
        <v>,</v>
      </c>
      <c r="M35" s="1" t="str">
        <f t="shared" si="5"/>
        <v>,@</v>
      </c>
      <c r="N35" s="1" t="str">
        <f t="shared" si="6"/>
        <v xml:space="preserve"> = @, </v>
      </c>
      <c r="O35" s="1" t="str">
        <f t="shared" si="9"/>
        <v>error += ExcelUtil.CheckValue(excelVo. , "", false, (null, null, ), (true, false, false), (false, false));</v>
      </c>
      <c r="P35" s="1" t="str">
        <f t="shared" si="10"/>
        <v>excelVo. = StringUtil.IsNotEmpty(ExcelUtil.GetCell(sheet, i, j).ToString().TrimEnd())? ExcelUtil.GetCell(sheet, i, j).ToString().TrimEnd().ToUpper():"";j++;//</v>
      </c>
      <c r="Q35" s="1" t="str">
        <f t="shared" si="11"/>
        <v>ExcelUtil.SetContent(sheet, row, column++, (string)item[""]);</v>
      </c>
      <c r="R35" s="1" t="str">
        <f t="shared" si="12"/>
        <v>paramDt.Add("@" ,  );//VARCHAR</v>
      </c>
      <c r="S35" s="1" t="str">
        <f t="shared" si="13"/>
        <v>paramDt.Add("@" , master. );//</v>
      </c>
      <c r="T35" s="1" t="str">
        <f t="shared" si="18"/>
        <v>{ name: '' , sort: '' },</v>
      </c>
      <c r="U35" s="1" t="str">
        <f t="shared" si="15"/>
        <v>"":"",</v>
      </c>
      <c r="V35" s="1" t="str">
        <f t="shared" si="16"/>
        <v>this.vo. = '' ; //</v>
      </c>
    </row>
    <row r="36" spans="1:22" x14ac:dyDescent="0.4">
      <c r="A36" s="1" t="s">
        <v>43</v>
      </c>
      <c r="D36" s="1" t="s">
        <v>5</v>
      </c>
      <c r="H36" s="1" t="str">
        <f t="shared" si="17"/>
        <v>string</v>
      </c>
      <c r="I36" s="1" t="str">
        <f t="shared" si="8"/>
        <v xml:space="preserve">///&lt;summary&gt;
///
///&lt;/summary&gt;
public string  {get; set;}
</v>
      </c>
      <c r="J36" s="1" t="str">
        <f t="shared" si="2"/>
        <v xml:space="preserve"> AND t1. = @</v>
      </c>
      <c r="K36" s="1" t="str">
        <f t="shared" si="3"/>
        <v>t1.        AS ,</v>
      </c>
      <c r="L36" s="1" t="str">
        <f t="shared" si="4"/>
        <v>,</v>
      </c>
      <c r="M36" s="1" t="str">
        <f t="shared" si="5"/>
        <v>,@</v>
      </c>
      <c r="N36" s="1" t="str">
        <f t="shared" si="6"/>
        <v xml:space="preserve"> = @, </v>
      </c>
      <c r="O36" s="1" t="str">
        <f t="shared" si="9"/>
        <v>error += ExcelUtil.CheckValue(excelVo. , "", false, (null, null, ), (true, false, false), (false, false));</v>
      </c>
      <c r="P36" s="1" t="str">
        <f t="shared" si="10"/>
        <v>excelVo. = StringUtil.IsNotEmpty(ExcelUtil.GetCell(sheet, i, j).ToString().TrimEnd())? ExcelUtil.GetCell(sheet, i, j).ToString().TrimEnd().ToUpper():"";j++;//</v>
      </c>
      <c r="Q36" s="1" t="str">
        <f t="shared" si="11"/>
        <v>ExcelUtil.SetContent(sheet, row, column++, (string)item[""]);</v>
      </c>
      <c r="R36" s="1" t="str">
        <f t="shared" si="12"/>
        <v>paramDt.Add("@" ,  );//VARCHAR</v>
      </c>
      <c r="S36" s="1" t="str">
        <f t="shared" si="13"/>
        <v>paramDt.Add("@" , master. );//</v>
      </c>
      <c r="T36" s="1" t="str">
        <f t="shared" si="18"/>
        <v>{ name: '' , sort: '' },</v>
      </c>
      <c r="U36" s="1" t="str">
        <f t="shared" si="15"/>
        <v>"":"",</v>
      </c>
      <c r="V36" s="1" t="str">
        <f t="shared" si="16"/>
        <v>this.vo. = '' ; //</v>
      </c>
    </row>
    <row r="37" spans="1:22" x14ac:dyDescent="0.4">
      <c r="A37" s="1" t="s">
        <v>43</v>
      </c>
      <c r="D37" s="1" t="s">
        <v>5</v>
      </c>
      <c r="H37" s="1" t="str">
        <f t="shared" si="17"/>
        <v>string</v>
      </c>
      <c r="I37" s="1" t="str">
        <f t="shared" si="8"/>
        <v xml:space="preserve">///&lt;summary&gt;
///
///&lt;/summary&gt;
public string  {get; set;}
</v>
      </c>
      <c r="J37" s="1" t="str">
        <f t="shared" si="2"/>
        <v xml:space="preserve"> AND t1. = @</v>
      </c>
      <c r="K37" s="1" t="str">
        <f t="shared" si="3"/>
        <v>t1.        AS ,</v>
      </c>
      <c r="L37" s="1" t="str">
        <f t="shared" si="4"/>
        <v>,</v>
      </c>
      <c r="M37" s="1" t="str">
        <f t="shared" si="5"/>
        <v>,@</v>
      </c>
      <c r="N37" s="1" t="str">
        <f t="shared" si="6"/>
        <v xml:space="preserve"> = @, </v>
      </c>
      <c r="O37" s="1" t="str">
        <f t="shared" si="9"/>
        <v>error += ExcelUtil.CheckValue(excelVo. , "", false, (null, null, ), (true, false, false), (false, false));</v>
      </c>
      <c r="P37" s="1" t="str">
        <f t="shared" si="10"/>
        <v>excelVo. = StringUtil.IsNotEmpty(ExcelUtil.GetCell(sheet, i, j).ToString().TrimEnd())? ExcelUtil.GetCell(sheet, i, j).ToString().TrimEnd().ToUpper():"";j++;//</v>
      </c>
      <c r="Q37" s="1" t="str">
        <f t="shared" si="11"/>
        <v>ExcelUtil.SetContent(sheet, row, column++, (string)item[""]);</v>
      </c>
      <c r="R37" s="1" t="str">
        <f t="shared" si="12"/>
        <v>paramDt.Add("@" ,  );//VARCHAR</v>
      </c>
      <c r="S37" s="1" t="str">
        <f t="shared" si="13"/>
        <v>paramDt.Add("@" , master. );//</v>
      </c>
      <c r="T37" s="1" t="str">
        <f t="shared" si="18"/>
        <v>{ name: '' , sort: '' },</v>
      </c>
      <c r="U37" s="1" t="str">
        <f t="shared" si="15"/>
        <v>"":"",</v>
      </c>
      <c r="V37" s="1" t="str">
        <f t="shared" si="16"/>
        <v>this.vo. = '' ; //</v>
      </c>
    </row>
    <row r="38" spans="1:22" x14ac:dyDescent="0.4">
      <c r="A38" s="1" t="s">
        <v>43</v>
      </c>
      <c r="D38" s="1" t="s">
        <v>6</v>
      </c>
      <c r="H38" s="1" t="str">
        <f t="shared" si="17"/>
        <v>decimal?</v>
      </c>
      <c r="I38" s="1" t="str">
        <f t="shared" si="8"/>
        <v xml:space="preserve">///&lt;summary&gt;
///
///&lt;/summary&gt;
public decimal?  {get; set;}
</v>
      </c>
      <c r="J38" s="1" t="str">
        <f t="shared" si="2"/>
        <v xml:space="preserve"> AND t1. = @</v>
      </c>
      <c r="K38" s="1" t="str">
        <f t="shared" si="3"/>
        <v>t1.        AS ,</v>
      </c>
      <c r="L38" s="1" t="str">
        <f t="shared" si="4"/>
        <v>,</v>
      </c>
      <c r="M38" s="1" t="str">
        <f t="shared" si="5"/>
        <v>,@</v>
      </c>
      <c r="N38" s="1" t="str">
        <f t="shared" si="6"/>
        <v xml:space="preserve"> = @, </v>
      </c>
      <c r="O38" s="1" t="str">
        <f t="shared" si="9"/>
        <v>error += ExcelUtil.CheckValue(excelVo..ToString()  , "", false, (null, null, ), (false, false, true), (false, false));</v>
      </c>
      <c r="P38" s="1" t="str">
        <f t="shared" si="10"/>
        <v>excelVo. = StringUtil.IsNotEmpty(ExcelUtil.GetCell(sheet, i, j).ToString().TrimEnd())? ExcelUtil.GetCell(sheet, i, j).ToString().TrimEnd().ToUpper():"";j++;//</v>
      </c>
      <c r="Q38" s="1" t="str">
        <f t="shared" si="11"/>
        <v>ExcelUtil.SetContent(sheet, row, column++, (string)item[""]);</v>
      </c>
      <c r="R38" s="1" t="str">
        <f t="shared" si="12"/>
        <v>paramDt.Add("@" ,  );//DECIMAL</v>
      </c>
      <c r="S38" s="1" t="str">
        <f t="shared" si="13"/>
        <v>paramDt.Add("@" , master. );//</v>
      </c>
      <c r="T38" s="1" t="str">
        <f t="shared" si="18"/>
        <v>{ name: '' , sort: '' },</v>
      </c>
      <c r="U38" s="1" t="str">
        <f t="shared" si="15"/>
        <v>"":"",</v>
      </c>
      <c r="V38" s="1" t="str">
        <f t="shared" si="16"/>
        <v>this.vo. = 0 ; //</v>
      </c>
    </row>
    <row r="39" spans="1:22" x14ac:dyDescent="0.4">
      <c r="A39" s="1" t="s">
        <v>43</v>
      </c>
      <c r="D39" s="1" t="s">
        <v>6</v>
      </c>
      <c r="H39" s="1" t="str">
        <f t="shared" si="17"/>
        <v>decimal?</v>
      </c>
      <c r="I39" s="1" t="str">
        <f t="shared" si="8"/>
        <v xml:space="preserve">///&lt;summary&gt;
///
///&lt;/summary&gt;
public decimal?  {get; set;}
</v>
      </c>
      <c r="J39" s="1" t="str">
        <f t="shared" si="2"/>
        <v xml:space="preserve"> AND t1. = @</v>
      </c>
      <c r="K39" s="1" t="str">
        <f t="shared" si="3"/>
        <v>t1.        AS ,</v>
      </c>
      <c r="L39" s="1" t="str">
        <f t="shared" si="4"/>
        <v>,</v>
      </c>
      <c r="M39" s="1" t="str">
        <f t="shared" si="5"/>
        <v>,@</v>
      </c>
      <c r="N39" s="1" t="str">
        <f t="shared" si="6"/>
        <v xml:space="preserve"> = @, </v>
      </c>
      <c r="O39" s="1" t="str">
        <f t="shared" si="9"/>
        <v>error += ExcelUtil.CheckValue(excelVo..ToString()  , "", false, (null, null, ), (false, false, true), (false, false));</v>
      </c>
      <c r="P39" s="1" t="str">
        <f t="shared" si="10"/>
        <v>excelVo. = StringUtil.IsNotEmpty(ExcelUtil.GetCell(sheet, i, j).ToString().TrimEnd())? ExcelUtil.GetCell(sheet, i, j).ToString().TrimEnd().ToUpper():"";j++;//</v>
      </c>
      <c r="Q39" s="1" t="str">
        <f t="shared" si="11"/>
        <v>ExcelUtil.SetContent(sheet, row, column++, (string)item[""]);</v>
      </c>
      <c r="R39" s="1" t="str">
        <f t="shared" si="12"/>
        <v>paramDt.Add("@" ,  );//DECIMAL</v>
      </c>
      <c r="S39" s="1" t="str">
        <f t="shared" si="13"/>
        <v>paramDt.Add("@" , master. );//</v>
      </c>
      <c r="T39" s="1" t="str">
        <f t="shared" si="18"/>
        <v>{ name: '' , sort: '' },</v>
      </c>
      <c r="U39" s="1" t="str">
        <f t="shared" si="15"/>
        <v>"":"",</v>
      </c>
      <c r="V39" s="1" t="str">
        <f t="shared" si="16"/>
        <v>this.vo. = 0 ; //</v>
      </c>
    </row>
    <row r="40" spans="1:22" x14ac:dyDescent="0.4">
      <c r="A40" s="1" t="s">
        <v>43</v>
      </c>
      <c r="D40" s="1" t="s">
        <v>6</v>
      </c>
      <c r="H40" s="1" t="str">
        <f t="shared" si="17"/>
        <v>decimal?</v>
      </c>
      <c r="I40" s="1" t="str">
        <f t="shared" si="8"/>
        <v xml:space="preserve">///&lt;summary&gt;
///
///&lt;/summary&gt;
public decimal?  {get; set;}
</v>
      </c>
      <c r="J40" s="1" t="str">
        <f t="shared" si="2"/>
        <v xml:space="preserve"> AND t1. = @</v>
      </c>
      <c r="K40" s="1" t="str">
        <f t="shared" si="3"/>
        <v>t1.        AS ,</v>
      </c>
      <c r="L40" s="1" t="str">
        <f t="shared" si="4"/>
        <v>,</v>
      </c>
      <c r="M40" s="1" t="str">
        <f t="shared" si="5"/>
        <v>,@</v>
      </c>
      <c r="N40" s="1" t="str">
        <f t="shared" si="6"/>
        <v xml:space="preserve"> = @, </v>
      </c>
      <c r="O40" s="1" t="str">
        <f t="shared" si="9"/>
        <v>error += ExcelUtil.CheckValue(excelVo..ToString()  , "", false, (null, null, ), (false, false, true), (false, false));</v>
      </c>
      <c r="P40" s="1" t="str">
        <f t="shared" si="10"/>
        <v>excelVo. = StringUtil.IsNotEmpty(ExcelUtil.GetCell(sheet, i, j).ToString().TrimEnd())? ExcelUtil.GetCell(sheet, i, j).ToString().TrimEnd().ToUpper():"";j++;//</v>
      </c>
      <c r="Q40" s="1" t="str">
        <f t="shared" si="11"/>
        <v>ExcelUtil.SetContent(sheet, row, column++, (string)item[""]);</v>
      </c>
      <c r="R40" s="1" t="str">
        <f t="shared" si="12"/>
        <v>paramDt.Add("@" ,  );//DECIMAL</v>
      </c>
      <c r="S40" s="1" t="str">
        <f t="shared" si="13"/>
        <v>paramDt.Add("@" , master. );//</v>
      </c>
      <c r="T40" s="1" t="str">
        <f t="shared" si="18"/>
        <v>{ name: '' , sort: '' },</v>
      </c>
      <c r="U40" s="1" t="str">
        <f t="shared" si="15"/>
        <v>"":"",</v>
      </c>
      <c r="V40" s="1" t="str">
        <f t="shared" si="16"/>
        <v>this.vo. = 0 ; //</v>
      </c>
    </row>
    <row r="41" spans="1:22" x14ac:dyDescent="0.4">
      <c r="A41" s="1" t="s">
        <v>43</v>
      </c>
      <c r="D41" s="1" t="s">
        <v>6</v>
      </c>
      <c r="H41" s="1" t="str">
        <f t="shared" si="17"/>
        <v>decimal?</v>
      </c>
      <c r="I41" s="1" t="str">
        <f t="shared" si="8"/>
        <v xml:space="preserve">///&lt;summary&gt;
///
///&lt;/summary&gt;
public decimal?  {get; set;}
</v>
      </c>
      <c r="J41" s="1" t="str">
        <f t="shared" si="2"/>
        <v xml:space="preserve"> AND t1. = @</v>
      </c>
      <c r="K41" s="1" t="str">
        <f t="shared" si="3"/>
        <v>t1.        AS ,</v>
      </c>
      <c r="L41" s="1" t="str">
        <f t="shared" si="4"/>
        <v>,</v>
      </c>
      <c r="M41" s="1" t="str">
        <f t="shared" si="5"/>
        <v>,@</v>
      </c>
      <c r="N41" s="1" t="str">
        <f t="shared" si="6"/>
        <v xml:space="preserve"> = @, </v>
      </c>
      <c r="O41" s="1" t="str">
        <f t="shared" si="9"/>
        <v>error += ExcelUtil.CheckValue(excelVo..ToString()  , "", false, (null, null, ), (false, false, true), (false, false));</v>
      </c>
      <c r="P41" s="1" t="str">
        <f t="shared" si="10"/>
        <v>excelVo. = StringUtil.IsNotEmpty(ExcelUtil.GetCell(sheet, i, j).ToString().TrimEnd())? ExcelUtil.GetCell(sheet, i, j).ToString().TrimEnd().ToUpper():"";j++;//</v>
      </c>
      <c r="Q41" s="1" t="str">
        <f t="shared" si="11"/>
        <v>ExcelUtil.SetContent(sheet, row, column++, (string)item[""]);</v>
      </c>
      <c r="R41" s="1" t="str">
        <f t="shared" si="12"/>
        <v>paramDt.Add("@" ,  );//DECIMAL</v>
      </c>
      <c r="S41" s="1" t="str">
        <f t="shared" si="13"/>
        <v>paramDt.Add("@" , master. );//</v>
      </c>
      <c r="T41" s="1" t="str">
        <f t="shared" si="18"/>
        <v>{ name: '' , sort: '' },</v>
      </c>
      <c r="U41" s="1" t="str">
        <f t="shared" si="15"/>
        <v>"":"",</v>
      </c>
      <c r="V41" s="1" t="str">
        <f t="shared" si="16"/>
        <v>this.vo. = 0 ; //</v>
      </c>
    </row>
    <row r="42" spans="1:22" x14ac:dyDescent="0.4">
      <c r="A42" s="1" t="s">
        <v>43</v>
      </c>
      <c r="D42" s="1" t="s">
        <v>6</v>
      </c>
      <c r="H42" s="1" t="str">
        <f t="shared" si="17"/>
        <v>decimal?</v>
      </c>
      <c r="I42" s="1" t="str">
        <f t="shared" si="8"/>
        <v xml:space="preserve">///&lt;summary&gt;
///
///&lt;/summary&gt;
public decimal?  {get; set;}
</v>
      </c>
      <c r="J42" s="1" t="str">
        <f t="shared" si="2"/>
        <v xml:space="preserve"> AND t1. = @</v>
      </c>
      <c r="K42" s="1" t="str">
        <f t="shared" si="3"/>
        <v>t1.        AS ,</v>
      </c>
      <c r="L42" s="1" t="str">
        <f t="shared" si="4"/>
        <v>,</v>
      </c>
      <c r="M42" s="1" t="str">
        <f t="shared" si="5"/>
        <v>,@</v>
      </c>
      <c r="N42" s="1" t="str">
        <f t="shared" si="6"/>
        <v xml:space="preserve"> = @, </v>
      </c>
      <c r="O42" s="1" t="str">
        <f t="shared" si="9"/>
        <v>error += ExcelUtil.CheckValue(excelVo..ToString()  , "", false, (null, null, ), (false, false, true), (false, false));</v>
      </c>
      <c r="P42" s="1" t="str">
        <f t="shared" si="10"/>
        <v>excelVo. = StringUtil.IsNotEmpty(ExcelUtil.GetCell(sheet, i, j).ToString().TrimEnd())? ExcelUtil.GetCell(sheet, i, j).ToString().TrimEnd().ToUpper():"";j++;//</v>
      </c>
      <c r="Q42" s="1" t="str">
        <f t="shared" si="11"/>
        <v>ExcelUtil.SetContent(sheet, row, column++, (string)item[""]);</v>
      </c>
      <c r="R42" s="1" t="str">
        <f t="shared" si="12"/>
        <v>paramDt.Add("@" ,  );//DECIMAL</v>
      </c>
      <c r="S42" s="1" t="str">
        <f t="shared" si="13"/>
        <v>paramDt.Add("@" , master. );//</v>
      </c>
      <c r="T42" s="1" t="str">
        <f t="shared" si="18"/>
        <v>{ name: '' , sort: '' },</v>
      </c>
      <c r="U42" s="1" t="str">
        <f t="shared" si="15"/>
        <v>"":"",</v>
      </c>
      <c r="V42" s="1" t="str">
        <f t="shared" si="16"/>
        <v>this.vo. = 0 ; //</v>
      </c>
    </row>
    <row r="43" spans="1:22" x14ac:dyDescent="0.4">
      <c r="A43" s="1" t="s">
        <v>43</v>
      </c>
      <c r="D43" s="1" t="s">
        <v>5</v>
      </c>
      <c r="H43" s="1" t="str">
        <f t="shared" si="17"/>
        <v>string</v>
      </c>
      <c r="I43" s="1" t="str">
        <f t="shared" si="8"/>
        <v xml:space="preserve">///&lt;summary&gt;
///
///&lt;/summary&gt;
public string  {get; set;}
</v>
      </c>
      <c r="J43" s="1" t="str">
        <f t="shared" si="2"/>
        <v xml:space="preserve"> AND t1. = @</v>
      </c>
      <c r="K43" s="1" t="str">
        <f t="shared" si="3"/>
        <v>t1.        AS ,</v>
      </c>
      <c r="L43" s="1" t="str">
        <f t="shared" si="4"/>
        <v>,</v>
      </c>
      <c r="M43" s="1" t="str">
        <f t="shared" si="5"/>
        <v>,@</v>
      </c>
      <c r="N43" s="1" t="str">
        <f t="shared" si="6"/>
        <v xml:space="preserve"> = @, </v>
      </c>
      <c r="O43" s="1" t="str">
        <f t="shared" si="9"/>
        <v>error += ExcelUtil.CheckValue(excelVo. , "", false, (null, null, ), (true, false, false), (false, false));</v>
      </c>
      <c r="P43" s="1" t="str">
        <f t="shared" si="10"/>
        <v>excelVo. = StringUtil.IsNotEmpty(ExcelUtil.GetCell(sheet, i, j).ToString().TrimEnd())? ExcelUtil.GetCell(sheet, i, j).ToString().TrimEnd().ToUpper():"";j++;//</v>
      </c>
      <c r="Q43" s="1" t="str">
        <f t="shared" si="11"/>
        <v>ExcelUtil.SetContent(sheet, row, column++, (string)item[""]);</v>
      </c>
      <c r="R43" s="1" t="str">
        <f t="shared" si="12"/>
        <v>paramDt.Add("@" ,  );//VARCHAR</v>
      </c>
      <c r="S43" s="1" t="str">
        <f t="shared" si="13"/>
        <v>paramDt.Add("@" , master. );//</v>
      </c>
      <c r="T43" s="1" t="str">
        <f t="shared" si="18"/>
        <v>{ name: '' , sort: '' },</v>
      </c>
      <c r="U43" s="1" t="str">
        <f t="shared" si="15"/>
        <v>"":"",</v>
      </c>
      <c r="V43" s="1" t="str">
        <f t="shared" si="16"/>
        <v>this.vo. = '' ; //</v>
      </c>
    </row>
    <row r="44" spans="1:22" x14ac:dyDescent="0.4">
      <c r="A44" s="1" t="s">
        <v>43</v>
      </c>
      <c r="D44" s="1" t="s">
        <v>5</v>
      </c>
      <c r="H44" s="1" t="str">
        <f t="shared" si="17"/>
        <v>string</v>
      </c>
      <c r="I44" s="1" t="str">
        <f t="shared" si="8"/>
        <v xml:space="preserve">///&lt;summary&gt;
///
///&lt;/summary&gt;
public string  {get; set;}
</v>
      </c>
      <c r="J44" s="1" t="str">
        <f t="shared" si="2"/>
        <v xml:space="preserve"> AND t1. = @</v>
      </c>
      <c r="K44" s="1" t="str">
        <f t="shared" si="3"/>
        <v>t1.        AS ,</v>
      </c>
      <c r="L44" s="1" t="str">
        <f t="shared" si="4"/>
        <v>,</v>
      </c>
      <c r="M44" s="1" t="str">
        <f t="shared" si="5"/>
        <v>,@</v>
      </c>
      <c r="N44" s="1" t="str">
        <f t="shared" si="6"/>
        <v xml:space="preserve"> = @, </v>
      </c>
      <c r="O44" s="1" t="str">
        <f t="shared" si="9"/>
        <v>error += ExcelUtil.CheckValue(excelVo. , "", false, (null, null, ), (true, false, false), (false, false));</v>
      </c>
      <c r="P44" s="1" t="str">
        <f t="shared" si="10"/>
        <v>excelVo. = StringUtil.IsNotEmpty(ExcelUtil.GetCell(sheet, i, j).ToString().TrimEnd())? ExcelUtil.GetCell(sheet, i, j).ToString().TrimEnd().ToUpper():"";j++;//</v>
      </c>
      <c r="Q44" s="1" t="str">
        <f t="shared" si="11"/>
        <v>ExcelUtil.SetContent(sheet, row, column++, (string)item[""]);</v>
      </c>
      <c r="R44" s="1" t="str">
        <f t="shared" si="12"/>
        <v>paramDt.Add("@" ,  );//VARCHAR</v>
      </c>
      <c r="S44" s="1" t="str">
        <f t="shared" si="13"/>
        <v>paramDt.Add("@" , master. );//</v>
      </c>
      <c r="T44" s="1" t="str">
        <f t="shared" si="18"/>
        <v>{ name: '' , sort: '' },</v>
      </c>
      <c r="U44" s="1" t="str">
        <f t="shared" si="15"/>
        <v>"":"",</v>
      </c>
      <c r="V44" s="1" t="str">
        <f t="shared" si="16"/>
        <v>this.vo. = '' ; //</v>
      </c>
    </row>
    <row r="45" spans="1:22" x14ac:dyDescent="0.4">
      <c r="A45" s="1" t="s">
        <v>43</v>
      </c>
      <c r="D45" s="1" t="s">
        <v>5</v>
      </c>
      <c r="H45" s="1" t="str">
        <f t="shared" si="17"/>
        <v>string</v>
      </c>
      <c r="I45" s="1" t="str">
        <f t="shared" si="8"/>
        <v xml:space="preserve">///&lt;summary&gt;
///
///&lt;/summary&gt;
public string  {get; set;}
</v>
      </c>
      <c r="J45" s="1" t="str">
        <f t="shared" si="2"/>
        <v xml:space="preserve"> AND t1. = @</v>
      </c>
      <c r="K45" s="1" t="str">
        <f t="shared" si="3"/>
        <v>t1.        AS ,</v>
      </c>
      <c r="L45" s="1" t="str">
        <f t="shared" si="4"/>
        <v>,</v>
      </c>
      <c r="M45" s="1" t="str">
        <f t="shared" si="5"/>
        <v>,@</v>
      </c>
      <c r="N45" s="1" t="str">
        <f t="shared" si="6"/>
        <v xml:space="preserve"> = @, </v>
      </c>
      <c r="O45" s="1" t="str">
        <f t="shared" si="9"/>
        <v>error += ExcelUtil.CheckValue(excelVo. , "", false, (null, null, ), (true, false, false), (false, false));</v>
      </c>
      <c r="P45" s="1" t="str">
        <f t="shared" si="10"/>
        <v>excelVo. = StringUtil.IsNotEmpty(ExcelUtil.GetCell(sheet, i, j).ToString().TrimEnd())? ExcelUtil.GetCell(sheet, i, j).ToString().TrimEnd().ToUpper():"";j++;//</v>
      </c>
      <c r="Q45" s="1" t="str">
        <f t="shared" si="11"/>
        <v>ExcelUtil.SetContent(sheet, row, column++, (string)item[""]);</v>
      </c>
      <c r="R45" s="1" t="str">
        <f t="shared" si="12"/>
        <v>paramDt.Add("@" ,  );//VARCHAR</v>
      </c>
      <c r="S45" s="1" t="str">
        <f t="shared" si="13"/>
        <v>paramDt.Add("@" , master. );//</v>
      </c>
      <c r="T45" s="1" t="str">
        <f t="shared" si="18"/>
        <v>{ name: '' , sort: '' },</v>
      </c>
      <c r="U45" s="1" t="str">
        <f t="shared" si="15"/>
        <v>"":"",</v>
      </c>
      <c r="V45" s="1" t="str">
        <f t="shared" si="16"/>
        <v>this.vo. = '' ; //</v>
      </c>
    </row>
    <row r="46" spans="1:22" x14ac:dyDescent="0.4">
      <c r="A46" s="1" t="s">
        <v>43</v>
      </c>
      <c r="D46" s="1" t="s">
        <v>5</v>
      </c>
      <c r="H46" s="1" t="str">
        <f t="shared" si="17"/>
        <v>string</v>
      </c>
      <c r="I46" s="1" t="str">
        <f t="shared" si="8"/>
        <v xml:space="preserve">///&lt;summary&gt;
///
///&lt;/summary&gt;
public string  {get; set;}
</v>
      </c>
      <c r="J46" s="1" t="str">
        <f t="shared" si="2"/>
        <v xml:space="preserve"> AND t1. = @</v>
      </c>
      <c r="K46" s="1" t="str">
        <f t="shared" si="3"/>
        <v>t1.        AS ,</v>
      </c>
      <c r="L46" s="1" t="str">
        <f t="shared" si="4"/>
        <v>,</v>
      </c>
      <c r="M46" s="1" t="str">
        <f t="shared" si="5"/>
        <v>,@</v>
      </c>
      <c r="N46" s="1" t="str">
        <f t="shared" si="6"/>
        <v xml:space="preserve"> = @, </v>
      </c>
      <c r="O46" s="1" t="str">
        <f t="shared" si="9"/>
        <v>error += ExcelUtil.CheckValue(excelVo. , "", false, (null, null, ), (true, false, false), (false, false));</v>
      </c>
      <c r="P46" s="1" t="str">
        <f t="shared" si="10"/>
        <v>excelVo. = StringUtil.IsNotEmpty(ExcelUtil.GetCell(sheet, i, j).ToString().TrimEnd())? ExcelUtil.GetCell(sheet, i, j).ToString().TrimEnd().ToUpper():"";j++;//</v>
      </c>
      <c r="Q46" s="1" t="str">
        <f t="shared" si="11"/>
        <v>ExcelUtil.SetContent(sheet, row, column++, (string)item[""]);</v>
      </c>
      <c r="R46" s="1" t="str">
        <f t="shared" si="12"/>
        <v>paramDt.Add("@" ,  );//VARCHAR</v>
      </c>
      <c r="S46" s="1" t="str">
        <f t="shared" si="13"/>
        <v>paramDt.Add("@" , master. );//</v>
      </c>
      <c r="T46" s="1" t="str">
        <f t="shared" si="18"/>
        <v>{ name: '' , sort: '' },</v>
      </c>
      <c r="U46" s="1" t="str">
        <f t="shared" si="15"/>
        <v>"":"",</v>
      </c>
      <c r="V46" s="1" t="str">
        <f t="shared" si="16"/>
        <v>this.vo. = '' ; //</v>
      </c>
    </row>
    <row r="47" spans="1:22" x14ac:dyDescent="0.4">
      <c r="A47" s="1" t="s">
        <v>43</v>
      </c>
      <c r="D47" s="1" t="s">
        <v>6</v>
      </c>
      <c r="H47" s="1" t="str">
        <f t="shared" si="17"/>
        <v>decimal?</v>
      </c>
      <c r="I47" s="1" t="str">
        <f t="shared" si="8"/>
        <v xml:space="preserve">///&lt;summary&gt;
///
///&lt;/summary&gt;
public decimal?  {get; set;}
</v>
      </c>
      <c r="J47" s="1" t="str">
        <f t="shared" si="2"/>
        <v xml:space="preserve"> AND t1. = @</v>
      </c>
      <c r="K47" s="1" t="str">
        <f t="shared" si="3"/>
        <v>t1.        AS ,</v>
      </c>
      <c r="L47" s="1" t="str">
        <f t="shared" si="4"/>
        <v>,</v>
      </c>
      <c r="M47" s="1" t="str">
        <f t="shared" si="5"/>
        <v>,@</v>
      </c>
      <c r="N47" s="1" t="str">
        <f t="shared" si="6"/>
        <v xml:space="preserve"> = @, </v>
      </c>
      <c r="O47" s="1" t="str">
        <f t="shared" si="9"/>
        <v>error += ExcelUtil.CheckValue(excelVo..ToString()  , "", false, (null, null, ), (false, false, true), (false, false));</v>
      </c>
      <c r="P47" s="1" t="str">
        <f t="shared" si="10"/>
        <v>excelVo. = StringUtil.IsNotEmpty(ExcelUtil.GetCell(sheet, i, j).ToString().TrimEnd())? ExcelUtil.GetCell(sheet, i, j).ToString().TrimEnd().ToUpper():"";j++;//</v>
      </c>
      <c r="Q47" s="1" t="str">
        <f t="shared" si="11"/>
        <v>ExcelUtil.SetContent(sheet, row, column++, (string)item[""]);</v>
      </c>
      <c r="R47" s="1" t="str">
        <f t="shared" si="12"/>
        <v>paramDt.Add("@" ,  );//DECIMAL</v>
      </c>
      <c r="S47" s="1" t="str">
        <f t="shared" si="13"/>
        <v>paramDt.Add("@" , master. );//</v>
      </c>
      <c r="T47" s="1" t="str">
        <f t="shared" si="18"/>
        <v>{ name: '' , sort: '' },</v>
      </c>
      <c r="U47" s="1" t="str">
        <f t="shared" si="15"/>
        <v>"":"",</v>
      </c>
      <c r="V47" s="1" t="str">
        <f t="shared" si="16"/>
        <v>this.vo. = 0 ; //</v>
      </c>
    </row>
    <row r="48" spans="1:22" x14ac:dyDescent="0.4">
      <c r="A48" s="1" t="s">
        <v>43</v>
      </c>
      <c r="D48" s="1" t="s">
        <v>6</v>
      </c>
      <c r="H48" s="1" t="str">
        <f t="shared" si="17"/>
        <v>decimal?</v>
      </c>
      <c r="I48" s="1" t="str">
        <f t="shared" si="8"/>
        <v xml:space="preserve">///&lt;summary&gt;
///
///&lt;/summary&gt;
public decimal?  {get; set;}
</v>
      </c>
      <c r="J48" s="1" t="str">
        <f t="shared" si="2"/>
        <v xml:space="preserve"> AND t1. = @</v>
      </c>
      <c r="K48" s="1" t="str">
        <f t="shared" si="3"/>
        <v>t1.        AS ,</v>
      </c>
      <c r="L48" s="1" t="str">
        <f t="shared" si="4"/>
        <v>,</v>
      </c>
      <c r="M48" s="1" t="str">
        <f t="shared" si="5"/>
        <v>,@</v>
      </c>
      <c r="N48" s="1" t="str">
        <f t="shared" si="6"/>
        <v xml:space="preserve"> = @, </v>
      </c>
      <c r="O48" s="1" t="str">
        <f t="shared" si="9"/>
        <v>error += ExcelUtil.CheckValue(excelVo..ToString()  , "", false, (null, null, ), (false, false, true), (false, false));</v>
      </c>
      <c r="P48" s="1" t="str">
        <f t="shared" si="10"/>
        <v>excelVo. = StringUtil.IsNotEmpty(ExcelUtil.GetCell(sheet, i, j).ToString().TrimEnd())? ExcelUtil.GetCell(sheet, i, j).ToString().TrimEnd().ToUpper():"";j++;//</v>
      </c>
      <c r="Q48" s="1" t="str">
        <f t="shared" si="11"/>
        <v>ExcelUtil.SetContent(sheet, row, column++, (string)item[""]);</v>
      </c>
      <c r="R48" s="1" t="str">
        <f t="shared" si="12"/>
        <v>paramDt.Add("@" ,  );//DECIMAL</v>
      </c>
      <c r="S48" s="1" t="str">
        <f t="shared" si="13"/>
        <v>paramDt.Add("@" , master. );//</v>
      </c>
      <c r="T48" s="1" t="str">
        <f t="shared" si="18"/>
        <v>{ name: '' , sort: '' },</v>
      </c>
      <c r="U48" s="1" t="str">
        <f t="shared" si="15"/>
        <v>"":"",</v>
      </c>
      <c r="V48" s="1" t="str">
        <f t="shared" si="16"/>
        <v>this.vo. = 0 ; //</v>
      </c>
    </row>
    <row r="49" spans="1:22" x14ac:dyDescent="0.4">
      <c r="A49" s="1" t="s">
        <v>43</v>
      </c>
      <c r="D49" s="1" t="s">
        <v>6</v>
      </c>
      <c r="H49" s="1" t="str">
        <f t="shared" si="17"/>
        <v>decimal?</v>
      </c>
      <c r="I49" s="1" t="str">
        <f t="shared" si="8"/>
        <v xml:space="preserve">///&lt;summary&gt;
///
///&lt;/summary&gt;
public decimal?  {get; set;}
</v>
      </c>
      <c r="J49" s="1" t="str">
        <f t="shared" si="2"/>
        <v xml:space="preserve"> AND t1. = @</v>
      </c>
      <c r="K49" s="1" t="str">
        <f t="shared" si="3"/>
        <v>t1.        AS ,</v>
      </c>
      <c r="L49" s="1" t="str">
        <f t="shared" si="4"/>
        <v>,</v>
      </c>
      <c r="M49" s="1" t="str">
        <f t="shared" si="5"/>
        <v>,@</v>
      </c>
      <c r="N49" s="1" t="str">
        <f t="shared" si="6"/>
        <v xml:space="preserve"> = @, </v>
      </c>
      <c r="O49" s="1" t="str">
        <f t="shared" si="9"/>
        <v>error += ExcelUtil.CheckValue(excelVo..ToString()  , "", false, (null, null, ), (false, false, true), (false, false));</v>
      </c>
      <c r="P49" s="1" t="str">
        <f t="shared" si="10"/>
        <v>excelVo. = StringUtil.IsNotEmpty(ExcelUtil.GetCell(sheet, i, j).ToString().TrimEnd())? ExcelUtil.GetCell(sheet, i, j).ToString().TrimEnd().ToUpper():"";j++;//</v>
      </c>
      <c r="Q49" s="1" t="str">
        <f t="shared" si="11"/>
        <v>ExcelUtil.SetContent(sheet, row, column++, (string)item[""]);</v>
      </c>
      <c r="R49" s="1" t="str">
        <f t="shared" si="12"/>
        <v>paramDt.Add("@" ,  );//DECIMAL</v>
      </c>
      <c r="S49" s="1" t="str">
        <f t="shared" si="13"/>
        <v>paramDt.Add("@" , master. );//</v>
      </c>
      <c r="T49" s="1" t="str">
        <f t="shared" si="18"/>
        <v>{ name: '' , sort: '' },</v>
      </c>
      <c r="U49" s="1" t="str">
        <f t="shared" si="15"/>
        <v>"":"",</v>
      </c>
      <c r="V49" s="1" t="str">
        <f t="shared" si="16"/>
        <v>this.vo. = 0 ; //</v>
      </c>
    </row>
    <row r="50" spans="1:22" x14ac:dyDescent="0.4">
      <c r="A50" s="1" t="s">
        <v>43</v>
      </c>
      <c r="D50" s="1" t="s">
        <v>6</v>
      </c>
      <c r="H50" s="1" t="str">
        <f t="shared" si="17"/>
        <v>decimal?</v>
      </c>
      <c r="I50" s="1" t="str">
        <f t="shared" si="8"/>
        <v xml:space="preserve">///&lt;summary&gt;
///
///&lt;/summary&gt;
public decimal?  {get; set;}
</v>
      </c>
      <c r="J50" s="1" t="str">
        <f t="shared" si="2"/>
        <v xml:space="preserve"> AND t1. = @</v>
      </c>
      <c r="K50" s="1" t="str">
        <f t="shared" si="3"/>
        <v>t1.        AS ,</v>
      </c>
      <c r="L50" s="1" t="str">
        <f t="shared" si="4"/>
        <v>,</v>
      </c>
      <c r="M50" s="1" t="str">
        <f t="shared" si="5"/>
        <v>,@</v>
      </c>
      <c r="N50" s="1" t="str">
        <f t="shared" si="6"/>
        <v xml:space="preserve"> = @, </v>
      </c>
      <c r="O50" s="1" t="str">
        <f t="shared" si="9"/>
        <v>error += ExcelUtil.CheckValue(excelVo..ToString()  , "", false, (null, null, ), (false, false, true), (false, false));</v>
      </c>
      <c r="P50" s="1" t="str">
        <f t="shared" si="10"/>
        <v>excelVo. = StringUtil.IsNotEmpty(ExcelUtil.GetCell(sheet, i, j).ToString().TrimEnd())? ExcelUtil.GetCell(sheet, i, j).ToString().TrimEnd().ToUpper():"";j++;//</v>
      </c>
      <c r="Q50" s="1" t="str">
        <f t="shared" si="11"/>
        <v>ExcelUtil.SetContent(sheet, row, column++, (string)item[""]);</v>
      </c>
      <c r="R50" s="1" t="str">
        <f t="shared" si="12"/>
        <v>paramDt.Add("@" ,  );//DECIMAL</v>
      </c>
      <c r="S50" s="1" t="str">
        <f t="shared" si="13"/>
        <v>paramDt.Add("@" , master. );//</v>
      </c>
      <c r="T50" s="1" t="str">
        <f t="shared" si="18"/>
        <v>{ name: '' , sort: '' },</v>
      </c>
      <c r="U50" s="1" t="str">
        <f t="shared" si="15"/>
        <v>"":"",</v>
      </c>
      <c r="V50" s="1" t="str">
        <f t="shared" si="16"/>
        <v>this.vo. = 0 ; //</v>
      </c>
    </row>
    <row r="51" spans="1:22" x14ac:dyDescent="0.4">
      <c r="A51" s="1" t="s">
        <v>43</v>
      </c>
      <c r="D51" s="1" t="s">
        <v>6</v>
      </c>
      <c r="H51" s="1" t="str">
        <f t="shared" si="17"/>
        <v>decimal?</v>
      </c>
      <c r="I51" s="1" t="str">
        <f t="shared" si="8"/>
        <v xml:space="preserve">///&lt;summary&gt;
///
///&lt;/summary&gt;
public decimal?  {get; set;}
</v>
      </c>
      <c r="J51" s="1" t="str">
        <f t="shared" si="2"/>
        <v xml:space="preserve"> AND t1. = @</v>
      </c>
      <c r="K51" s="1" t="str">
        <f t="shared" si="3"/>
        <v>t1.        AS ,</v>
      </c>
      <c r="L51" s="1" t="str">
        <f t="shared" si="4"/>
        <v>,</v>
      </c>
      <c r="M51" s="1" t="str">
        <f t="shared" si="5"/>
        <v>,@</v>
      </c>
      <c r="N51" s="1" t="str">
        <f t="shared" si="6"/>
        <v xml:space="preserve"> = @, </v>
      </c>
      <c r="O51" s="1" t="str">
        <f t="shared" si="9"/>
        <v>error += ExcelUtil.CheckValue(excelVo..ToString()  , "", false, (null, null, ), (false, false, true), (false, false));</v>
      </c>
      <c r="P51" s="1" t="str">
        <f t="shared" si="10"/>
        <v>excelVo. = StringUtil.IsNotEmpty(ExcelUtil.GetCell(sheet, i, j).ToString().TrimEnd())? ExcelUtil.GetCell(sheet, i, j).ToString().TrimEnd().ToUpper():"";j++;//</v>
      </c>
      <c r="Q51" s="1" t="str">
        <f t="shared" si="11"/>
        <v>ExcelUtil.SetContent(sheet, row, column++, (string)item[""]);</v>
      </c>
      <c r="R51" s="1" t="str">
        <f t="shared" si="12"/>
        <v>paramDt.Add("@" ,  );//DECIMAL</v>
      </c>
      <c r="S51" s="1" t="str">
        <f t="shared" si="13"/>
        <v>paramDt.Add("@" , master. );//</v>
      </c>
      <c r="T51" s="1" t="str">
        <f t="shared" si="18"/>
        <v>{ name: '' , sort: '' },</v>
      </c>
      <c r="U51" s="1" t="str">
        <f t="shared" si="15"/>
        <v>"":"",</v>
      </c>
      <c r="V51" s="1" t="str">
        <f t="shared" si="16"/>
        <v>this.vo. = 0 ; //</v>
      </c>
    </row>
    <row r="52" spans="1:22" x14ac:dyDescent="0.4">
      <c r="A52" s="1" t="s">
        <v>43</v>
      </c>
      <c r="D52" s="1" t="s">
        <v>6</v>
      </c>
      <c r="H52" s="1" t="str">
        <f t="shared" si="17"/>
        <v>decimal?</v>
      </c>
      <c r="I52" s="1" t="str">
        <f t="shared" si="8"/>
        <v xml:space="preserve">///&lt;summary&gt;
///
///&lt;/summary&gt;
public decimal?  {get; set;}
</v>
      </c>
      <c r="J52" s="1" t="str">
        <f t="shared" si="2"/>
        <v xml:space="preserve"> AND t1. = @</v>
      </c>
      <c r="K52" s="1" t="str">
        <f t="shared" si="3"/>
        <v>t1.        AS ,</v>
      </c>
      <c r="L52" s="1" t="str">
        <f t="shared" si="4"/>
        <v>,</v>
      </c>
      <c r="M52" s="1" t="str">
        <f t="shared" si="5"/>
        <v>,@</v>
      </c>
      <c r="N52" s="1" t="str">
        <f t="shared" si="6"/>
        <v xml:space="preserve"> = @, </v>
      </c>
      <c r="O52" s="1" t="str">
        <f t="shared" si="9"/>
        <v>error += ExcelUtil.CheckValue(excelVo..ToString()  , "", false, (null, null, ), (false, false, true), (false, false));</v>
      </c>
      <c r="P52" s="1" t="str">
        <f t="shared" si="10"/>
        <v>excelVo. = StringUtil.IsNotEmpty(ExcelUtil.GetCell(sheet, i, j).ToString().TrimEnd())? ExcelUtil.GetCell(sheet, i, j).ToString().TrimEnd().ToUpper():"";j++;//</v>
      </c>
      <c r="Q52" s="1" t="str">
        <f t="shared" si="11"/>
        <v>ExcelUtil.SetContent(sheet, row, column++, (string)item[""]);</v>
      </c>
      <c r="R52" s="1" t="str">
        <f t="shared" si="12"/>
        <v>paramDt.Add("@" ,  );//DECIMAL</v>
      </c>
      <c r="S52" s="1" t="str">
        <f t="shared" si="13"/>
        <v>paramDt.Add("@" , master. );//</v>
      </c>
      <c r="T52" s="1" t="str">
        <f t="shared" si="18"/>
        <v>{ name: '' , sort: '' },</v>
      </c>
      <c r="U52" s="1" t="str">
        <f t="shared" si="15"/>
        <v>"":"",</v>
      </c>
      <c r="V52" s="1" t="str">
        <f t="shared" si="16"/>
        <v>this.vo. = 0 ; //</v>
      </c>
    </row>
    <row r="53" spans="1:22" x14ac:dyDescent="0.4">
      <c r="A53" s="1" t="s">
        <v>43</v>
      </c>
      <c r="D53" s="1" t="s">
        <v>6</v>
      </c>
      <c r="H53" s="1" t="str">
        <f t="shared" si="17"/>
        <v>decimal?</v>
      </c>
      <c r="I53" s="1" t="str">
        <f t="shared" si="8"/>
        <v xml:space="preserve">///&lt;summary&gt;
///
///&lt;/summary&gt;
public decimal?  {get; set;}
</v>
      </c>
      <c r="J53" s="1" t="str">
        <f t="shared" si="2"/>
        <v xml:space="preserve"> AND t1. = @</v>
      </c>
      <c r="K53" s="1" t="str">
        <f t="shared" si="3"/>
        <v>t1.        AS ,</v>
      </c>
      <c r="L53" s="1" t="str">
        <f t="shared" si="4"/>
        <v>,</v>
      </c>
      <c r="M53" s="1" t="str">
        <f t="shared" si="5"/>
        <v>,@</v>
      </c>
      <c r="N53" s="1" t="str">
        <f t="shared" si="6"/>
        <v xml:space="preserve"> = @, </v>
      </c>
      <c r="O53" s="1" t="str">
        <f t="shared" si="9"/>
        <v>error += ExcelUtil.CheckValue(excelVo..ToString()  , "", false, (null, null, ), (false, false, true), (false, false));</v>
      </c>
      <c r="P53" s="1" t="str">
        <f t="shared" si="10"/>
        <v>excelVo. = StringUtil.IsNotEmpty(ExcelUtil.GetCell(sheet, i, j).ToString().TrimEnd())? ExcelUtil.GetCell(sheet, i, j).ToString().TrimEnd().ToUpper():"";j++;//</v>
      </c>
      <c r="Q53" s="1" t="str">
        <f t="shared" si="11"/>
        <v>ExcelUtil.SetContent(sheet, row, column++, (string)item[""]);</v>
      </c>
      <c r="R53" s="1" t="str">
        <f t="shared" si="12"/>
        <v>paramDt.Add("@" ,  );//DECIMAL</v>
      </c>
      <c r="S53" s="1" t="str">
        <f t="shared" si="13"/>
        <v>paramDt.Add("@" , master. );//</v>
      </c>
      <c r="T53" s="1" t="str">
        <f t="shared" si="18"/>
        <v>{ name: '' , sort: '' },</v>
      </c>
      <c r="U53" s="1" t="str">
        <f t="shared" si="15"/>
        <v>"":"",</v>
      </c>
      <c r="V53" s="1" t="str">
        <f t="shared" si="16"/>
        <v>this.vo. = 0 ; //</v>
      </c>
    </row>
    <row r="54" spans="1:22" x14ac:dyDescent="0.4">
      <c r="A54" s="1" t="s">
        <v>43</v>
      </c>
      <c r="D54" s="1" t="s">
        <v>6</v>
      </c>
      <c r="H54" s="1" t="str">
        <f t="shared" si="17"/>
        <v>decimal?</v>
      </c>
      <c r="I54" s="1" t="str">
        <f t="shared" si="8"/>
        <v xml:space="preserve">///&lt;summary&gt;
///
///&lt;/summary&gt;
public decimal?  {get; set;}
</v>
      </c>
      <c r="J54" s="1" t="str">
        <f t="shared" si="2"/>
        <v xml:space="preserve"> AND t1. = @</v>
      </c>
      <c r="K54" s="1" t="str">
        <f t="shared" si="3"/>
        <v>t1.        AS ,</v>
      </c>
      <c r="L54" s="1" t="str">
        <f t="shared" si="4"/>
        <v>,</v>
      </c>
      <c r="M54" s="1" t="str">
        <f t="shared" si="5"/>
        <v>,@</v>
      </c>
      <c r="N54" s="1" t="str">
        <f t="shared" si="6"/>
        <v xml:space="preserve"> = @, </v>
      </c>
      <c r="O54" s="1" t="str">
        <f t="shared" si="9"/>
        <v>error += ExcelUtil.CheckValue(excelVo..ToString()  , "", false, (null, null, ), (false, false, true), (false, false));</v>
      </c>
      <c r="P54" s="1" t="str">
        <f t="shared" si="10"/>
        <v>excelVo. = StringUtil.IsNotEmpty(ExcelUtil.GetCell(sheet, i, j).ToString().TrimEnd())? ExcelUtil.GetCell(sheet, i, j).ToString().TrimEnd().ToUpper():"";j++;//</v>
      </c>
      <c r="Q54" s="1" t="str">
        <f t="shared" si="11"/>
        <v>ExcelUtil.SetContent(sheet, row, column++, (string)item[""]);</v>
      </c>
      <c r="R54" s="1" t="str">
        <f t="shared" si="12"/>
        <v>paramDt.Add("@" ,  );//DECIMAL</v>
      </c>
      <c r="S54" s="1" t="str">
        <f t="shared" si="13"/>
        <v>paramDt.Add("@" , master. );//</v>
      </c>
      <c r="T54" s="1" t="str">
        <f t="shared" si="18"/>
        <v>{ name: '' , sort: '' },</v>
      </c>
      <c r="U54" s="1" t="str">
        <f t="shared" si="15"/>
        <v>"":"",</v>
      </c>
      <c r="V54" s="1" t="str">
        <f t="shared" si="16"/>
        <v>this.vo. = 0 ; //</v>
      </c>
    </row>
    <row r="55" spans="1:22" x14ac:dyDescent="0.4">
      <c r="A55" s="1" t="s">
        <v>43</v>
      </c>
      <c r="D55" s="1" t="s">
        <v>6</v>
      </c>
      <c r="H55" s="1" t="str">
        <f t="shared" si="17"/>
        <v>decimal?</v>
      </c>
      <c r="I55" s="1" t="str">
        <f t="shared" si="8"/>
        <v xml:space="preserve">///&lt;summary&gt;
///
///&lt;/summary&gt;
public decimal?  {get; set;}
</v>
      </c>
      <c r="J55" s="1" t="str">
        <f t="shared" si="2"/>
        <v xml:space="preserve"> AND t1. = @</v>
      </c>
      <c r="K55" s="1" t="str">
        <f t="shared" si="3"/>
        <v>t1.        AS ,</v>
      </c>
      <c r="L55" s="1" t="str">
        <f t="shared" si="4"/>
        <v>,</v>
      </c>
      <c r="M55" s="1" t="str">
        <f t="shared" si="5"/>
        <v>,@</v>
      </c>
      <c r="N55" s="1" t="str">
        <f t="shared" si="6"/>
        <v xml:space="preserve"> = @, </v>
      </c>
      <c r="O55" s="1" t="str">
        <f t="shared" si="9"/>
        <v>error += ExcelUtil.CheckValue(excelVo..ToString()  , "", false, (null, null, ), (false, false, true), (false, false));</v>
      </c>
      <c r="P55" s="1" t="str">
        <f t="shared" si="10"/>
        <v>excelVo. = StringUtil.IsNotEmpty(ExcelUtil.GetCell(sheet, i, j).ToString().TrimEnd())? ExcelUtil.GetCell(sheet, i, j).ToString().TrimEnd().ToUpper():"";j++;//</v>
      </c>
      <c r="Q55" s="1" t="str">
        <f t="shared" si="11"/>
        <v>ExcelUtil.SetContent(sheet, row, column++, (string)item[""]);</v>
      </c>
      <c r="R55" s="1" t="str">
        <f t="shared" si="12"/>
        <v>paramDt.Add("@" ,  );//DECIMAL</v>
      </c>
      <c r="S55" s="1" t="str">
        <f t="shared" si="13"/>
        <v>paramDt.Add("@" , master. );//</v>
      </c>
      <c r="T55" s="1" t="str">
        <f t="shared" si="18"/>
        <v>{ name: '' , sort: '' },</v>
      </c>
      <c r="U55" s="1" t="str">
        <f t="shared" si="15"/>
        <v>"":"",</v>
      </c>
      <c r="V55" s="1" t="str">
        <f t="shared" si="16"/>
        <v>this.vo. = 0 ; //</v>
      </c>
    </row>
    <row r="56" spans="1:22" x14ac:dyDescent="0.4">
      <c r="A56" s="1" t="s">
        <v>43</v>
      </c>
      <c r="D56" s="1" t="s">
        <v>6</v>
      </c>
      <c r="H56" s="1" t="str">
        <f t="shared" si="17"/>
        <v>decimal?</v>
      </c>
      <c r="I56" s="1" t="str">
        <f t="shared" si="8"/>
        <v xml:space="preserve">///&lt;summary&gt;
///
///&lt;/summary&gt;
public decimal?  {get; set;}
</v>
      </c>
      <c r="J56" s="1" t="str">
        <f t="shared" si="2"/>
        <v xml:space="preserve"> AND t1. = @</v>
      </c>
      <c r="K56" s="1" t="str">
        <f t="shared" si="3"/>
        <v>t1.        AS ,</v>
      </c>
      <c r="L56" s="1" t="str">
        <f t="shared" si="4"/>
        <v>,</v>
      </c>
      <c r="M56" s="1" t="str">
        <f t="shared" si="5"/>
        <v>,@</v>
      </c>
      <c r="N56" s="1" t="str">
        <f t="shared" si="6"/>
        <v xml:space="preserve"> = @, </v>
      </c>
      <c r="O56" s="1" t="str">
        <f t="shared" si="9"/>
        <v>error += ExcelUtil.CheckValue(excelVo..ToString()  , "", false, (null, null, ), (false, false, true), (false, false));</v>
      </c>
      <c r="P56" s="1" t="str">
        <f t="shared" si="10"/>
        <v>excelVo. = StringUtil.IsNotEmpty(ExcelUtil.GetCell(sheet, i, j).ToString().TrimEnd())? ExcelUtil.GetCell(sheet, i, j).ToString().TrimEnd().ToUpper():"";j++;//</v>
      </c>
      <c r="Q56" s="1" t="str">
        <f t="shared" si="11"/>
        <v>ExcelUtil.SetContent(sheet, row, column++, (string)item[""]);</v>
      </c>
      <c r="R56" s="1" t="str">
        <f t="shared" si="12"/>
        <v>paramDt.Add("@" ,  );//DECIMAL</v>
      </c>
      <c r="S56" s="1" t="str">
        <f t="shared" si="13"/>
        <v>paramDt.Add("@" , master. );//</v>
      </c>
      <c r="T56" s="1" t="str">
        <f t="shared" si="18"/>
        <v>{ name: '' , sort: '' },</v>
      </c>
      <c r="U56" s="1" t="str">
        <f t="shared" si="15"/>
        <v>"":"",</v>
      </c>
      <c r="V56" s="1" t="str">
        <f t="shared" si="16"/>
        <v>this.vo. = 0 ; //</v>
      </c>
    </row>
    <row r="57" spans="1:22" x14ac:dyDescent="0.4">
      <c r="A57" s="1" t="s">
        <v>43</v>
      </c>
      <c r="D57" s="1" t="s">
        <v>6</v>
      </c>
      <c r="H57" s="1" t="str">
        <f t="shared" si="17"/>
        <v>decimal?</v>
      </c>
      <c r="I57" s="1" t="str">
        <f t="shared" si="8"/>
        <v xml:space="preserve">///&lt;summary&gt;
///
///&lt;/summary&gt;
public decimal?  {get; set;}
</v>
      </c>
      <c r="J57" s="1" t="str">
        <f t="shared" si="2"/>
        <v xml:space="preserve"> AND t1. = @</v>
      </c>
      <c r="K57" s="1" t="str">
        <f t="shared" si="3"/>
        <v>t1.        AS ,</v>
      </c>
      <c r="L57" s="1" t="str">
        <f t="shared" si="4"/>
        <v>,</v>
      </c>
      <c r="M57" s="1" t="str">
        <f t="shared" si="5"/>
        <v>,@</v>
      </c>
      <c r="N57" s="1" t="str">
        <f t="shared" si="6"/>
        <v xml:space="preserve"> = @, </v>
      </c>
      <c r="O57" s="1" t="str">
        <f t="shared" si="9"/>
        <v>error += ExcelUtil.CheckValue(excelVo..ToString()  , "", false, (null, null, ), (false, false, true), (false, false));</v>
      </c>
      <c r="P57" s="1" t="str">
        <f t="shared" si="10"/>
        <v>excelVo. = StringUtil.IsNotEmpty(ExcelUtil.GetCell(sheet, i, j).ToString().TrimEnd())? ExcelUtil.GetCell(sheet, i, j).ToString().TrimEnd().ToUpper():"";j++;//</v>
      </c>
      <c r="Q57" s="1" t="str">
        <f t="shared" si="11"/>
        <v>ExcelUtil.SetContent(sheet, row, column++, (string)item[""]);</v>
      </c>
      <c r="R57" s="1" t="str">
        <f t="shared" si="12"/>
        <v>paramDt.Add("@" ,  );//DECIMAL</v>
      </c>
      <c r="S57" s="1" t="str">
        <f t="shared" si="13"/>
        <v>paramDt.Add("@" , master. );//</v>
      </c>
      <c r="T57" s="1" t="str">
        <f t="shared" si="18"/>
        <v>{ name: '' , sort: '' },</v>
      </c>
      <c r="U57" s="1" t="str">
        <f t="shared" si="15"/>
        <v>"":"",</v>
      </c>
      <c r="V57" s="1" t="str">
        <f t="shared" si="16"/>
        <v>this.vo. = 0 ; //</v>
      </c>
    </row>
    <row r="58" spans="1:22" x14ac:dyDescent="0.4">
      <c r="A58" s="1" t="s">
        <v>43</v>
      </c>
      <c r="D58" s="1" t="s">
        <v>6</v>
      </c>
      <c r="H58" s="1" t="str">
        <f t="shared" si="17"/>
        <v>decimal?</v>
      </c>
      <c r="I58" s="1" t="str">
        <f t="shared" si="8"/>
        <v xml:space="preserve">///&lt;summary&gt;
///
///&lt;/summary&gt;
public decimal?  {get; set;}
</v>
      </c>
      <c r="J58" s="1" t="str">
        <f t="shared" si="2"/>
        <v xml:space="preserve"> AND t1. = @</v>
      </c>
      <c r="K58" s="1" t="str">
        <f t="shared" si="3"/>
        <v>t1.        AS ,</v>
      </c>
      <c r="L58" s="1" t="str">
        <f t="shared" si="4"/>
        <v>,</v>
      </c>
      <c r="M58" s="1" t="str">
        <f t="shared" si="5"/>
        <v>,@</v>
      </c>
      <c r="N58" s="1" t="str">
        <f t="shared" si="6"/>
        <v xml:space="preserve"> = @, </v>
      </c>
      <c r="O58" s="1" t="str">
        <f t="shared" si="9"/>
        <v>error += ExcelUtil.CheckValue(excelVo..ToString()  , "", false, (null, null, ), (false, false, true), (false, false));</v>
      </c>
      <c r="P58" s="1" t="str">
        <f t="shared" si="10"/>
        <v>excelVo. = StringUtil.IsNotEmpty(ExcelUtil.GetCell(sheet, i, j).ToString().TrimEnd())? ExcelUtil.GetCell(sheet, i, j).ToString().TrimEnd().ToUpper():"";j++;//</v>
      </c>
      <c r="Q58" s="1" t="str">
        <f t="shared" si="11"/>
        <v>ExcelUtil.SetContent(sheet, row, column++, (string)item[""]);</v>
      </c>
      <c r="R58" s="1" t="str">
        <f t="shared" si="12"/>
        <v>paramDt.Add("@" ,  );//DECIMAL</v>
      </c>
      <c r="S58" s="1" t="str">
        <f t="shared" si="13"/>
        <v>paramDt.Add("@" , master. );//</v>
      </c>
      <c r="T58" s="1" t="str">
        <f t="shared" si="18"/>
        <v>{ name: '' , sort: '' },</v>
      </c>
      <c r="U58" s="1" t="str">
        <f t="shared" si="15"/>
        <v>"":"",</v>
      </c>
      <c r="V58" s="1" t="str">
        <f t="shared" si="16"/>
        <v>this.vo. = 0 ; //</v>
      </c>
    </row>
    <row r="59" spans="1:22" x14ac:dyDescent="0.4">
      <c r="A59" s="1" t="s">
        <v>43</v>
      </c>
      <c r="D59" s="1" t="s">
        <v>6</v>
      </c>
      <c r="I59" s="1" t="str">
        <f t="shared" ref="I59:I88" si="19">"///&lt;summary&gt;"&amp;CHAR(10)&amp;"///"&amp;TRIM(C59)&amp;CHAR(10)&amp;"///&lt;/summary&gt;"&amp;CHAR(10)&amp;"public "&amp;H59&amp;" " &amp;TRIM(C59)&amp;" {get; set;}"&amp;CHAR(10)</f>
        <v xml:space="preserve">///&lt;summary&gt;
///
///&lt;/summary&gt;
public   {get; set;}
</v>
      </c>
      <c r="J59" s="1" t="str">
        <f t="shared" si="2"/>
        <v xml:space="preserve"> AND t1. = @</v>
      </c>
      <c r="K59" s="1" t="str">
        <f t="shared" si="3"/>
        <v>t1.        AS ,</v>
      </c>
      <c r="L59" s="1" t="str">
        <f t="shared" si="4"/>
        <v>,</v>
      </c>
      <c r="M59" s="1" t="str">
        <f t="shared" si="5"/>
        <v>,@</v>
      </c>
      <c r="N59" s="1" t="str">
        <f t="shared" si="6"/>
        <v xml:space="preserve"> = @, </v>
      </c>
      <c r="O59" s="1" t="str">
        <f t="shared" si="9"/>
        <v>error += ExcelUtil.CheckValue(excelVo..ToString()  , "", false, (null, null, ), (false, false, true), (false, false));</v>
      </c>
      <c r="P59" s="1" t="str">
        <f t="shared" si="10"/>
        <v>excelVo. = StringUtil.IsNotEmpty(ExcelUtil.GetCell(sheet, i, j).ToString().TrimEnd())? ExcelUtil.GetCell(sheet, i, j).ToString().TrimEnd().ToUpper():"";j++;//</v>
      </c>
      <c r="Q59" s="1" t="str">
        <f t="shared" si="11"/>
        <v>ExcelUtil.SetContent(sheet, row, column++, (string)item[""]);</v>
      </c>
      <c r="R59" s="1" t="str">
        <f t="shared" si="12"/>
        <v>paramDt.Add("@" ,  );//DECIMAL</v>
      </c>
      <c r="S59" s="1" t="str">
        <f t="shared" si="13"/>
        <v>paramDt.Add("@" , master. );//</v>
      </c>
      <c r="T59" s="1" t="str">
        <f t="shared" si="18"/>
        <v>{ name: '' , sort: '' },</v>
      </c>
      <c r="U59" s="1" t="str">
        <f t="shared" si="15"/>
        <v>"":"",</v>
      </c>
      <c r="V59" s="1" t="str">
        <f t="shared" si="16"/>
        <v>this.vo. = 0 ; //</v>
      </c>
    </row>
    <row r="60" spans="1:22" x14ac:dyDescent="0.4">
      <c r="A60" s="1" t="s">
        <v>43</v>
      </c>
      <c r="D60" s="1" t="s">
        <v>6</v>
      </c>
      <c r="I60" s="1" t="str">
        <f t="shared" si="19"/>
        <v xml:space="preserve">///&lt;summary&gt;
///
///&lt;/summary&gt;
public   {get; set;}
</v>
      </c>
      <c r="J60" s="1" t="str">
        <f t="shared" si="2"/>
        <v xml:space="preserve"> AND t1. = @</v>
      </c>
      <c r="K60" s="1" t="str">
        <f t="shared" si="3"/>
        <v>t1.        AS ,</v>
      </c>
      <c r="L60" s="1" t="str">
        <f t="shared" si="4"/>
        <v>,</v>
      </c>
      <c r="M60" s="1" t="str">
        <f t="shared" si="5"/>
        <v>,@</v>
      </c>
      <c r="N60" s="1" t="str">
        <f t="shared" si="6"/>
        <v xml:space="preserve"> = @, </v>
      </c>
      <c r="O60" s="1" t="str">
        <f t="shared" si="9"/>
        <v>error += ExcelUtil.CheckValue(excelVo..ToString()  , "", false, (null, null, ), (false, false, true), (false, false));</v>
      </c>
      <c r="P60" s="1" t="str">
        <f t="shared" si="10"/>
        <v>excelVo. = StringUtil.IsNotEmpty(ExcelUtil.GetCell(sheet, i, j).ToString().TrimEnd())? ExcelUtil.GetCell(sheet, i, j).ToString().TrimEnd().ToUpper():"";j++;//</v>
      </c>
      <c r="Q60" s="1" t="str">
        <f t="shared" si="11"/>
        <v>ExcelUtil.SetContent(sheet, row, column++, (string)item[""]);</v>
      </c>
      <c r="R60" s="1" t="str">
        <f t="shared" si="12"/>
        <v>paramDt.Add("@" ,  );//DECIMAL</v>
      </c>
      <c r="S60" s="1" t="str">
        <f t="shared" si="13"/>
        <v>paramDt.Add("@" , master. );//</v>
      </c>
      <c r="T60" s="1" t="str">
        <f t="shared" si="18"/>
        <v>{ name: '' , sort: '' },</v>
      </c>
      <c r="U60" s="1" t="str">
        <f t="shared" si="15"/>
        <v>"":"",</v>
      </c>
      <c r="V60" s="1" t="str">
        <f t="shared" si="16"/>
        <v>this.vo. = 0 ; //</v>
      </c>
    </row>
    <row r="61" spans="1:22" x14ac:dyDescent="0.4">
      <c r="A61" s="1" t="s">
        <v>43</v>
      </c>
      <c r="D61" s="1" t="s">
        <v>6</v>
      </c>
      <c r="I61" s="1" t="str">
        <f t="shared" si="19"/>
        <v xml:space="preserve">///&lt;summary&gt;
///
///&lt;/summary&gt;
public   {get; set;}
</v>
      </c>
      <c r="J61" s="1" t="str">
        <f t="shared" si="2"/>
        <v xml:space="preserve"> AND t1. = @</v>
      </c>
      <c r="K61" s="1" t="str">
        <f t="shared" si="3"/>
        <v>t1.        AS ,</v>
      </c>
      <c r="L61" s="1" t="str">
        <f t="shared" si="4"/>
        <v>,</v>
      </c>
      <c r="M61" s="1" t="str">
        <f t="shared" si="5"/>
        <v>,@</v>
      </c>
      <c r="N61" s="1" t="str">
        <f t="shared" si="6"/>
        <v xml:space="preserve"> = @, </v>
      </c>
      <c r="O61" s="1" t="str">
        <f t="shared" si="9"/>
        <v>error += ExcelUtil.CheckValue(excelVo..ToString()  , "", false, (null, null, ), (false, false, true), (false, false));</v>
      </c>
      <c r="P61" s="1" t="str">
        <f t="shared" si="10"/>
        <v>excelVo. = StringUtil.IsNotEmpty(ExcelUtil.GetCell(sheet, i, j).ToString().TrimEnd())? ExcelUtil.GetCell(sheet, i, j).ToString().TrimEnd().ToUpper():"";j++;//</v>
      </c>
      <c r="Q61" s="1" t="str">
        <f t="shared" si="11"/>
        <v>ExcelUtil.SetContent(sheet, row, column++, (string)item[""]);</v>
      </c>
      <c r="R61" s="1" t="str">
        <f t="shared" si="12"/>
        <v>paramDt.Add("@" ,  );//DECIMAL</v>
      </c>
      <c r="S61" s="1" t="str">
        <f t="shared" si="13"/>
        <v>paramDt.Add("@" , master. );//</v>
      </c>
      <c r="T61" s="1" t="str">
        <f t="shared" si="18"/>
        <v>{ name: '' , sort: '' },</v>
      </c>
      <c r="U61" s="1" t="str">
        <f t="shared" si="15"/>
        <v>"":"",</v>
      </c>
      <c r="V61" s="1" t="str">
        <f t="shared" si="16"/>
        <v>this.vo. = 0 ; //</v>
      </c>
    </row>
    <row r="62" spans="1:22" x14ac:dyDescent="0.4">
      <c r="A62" s="1" t="s">
        <v>43</v>
      </c>
      <c r="D62" s="1" t="s">
        <v>6</v>
      </c>
      <c r="I62" s="1" t="str">
        <f t="shared" si="19"/>
        <v xml:space="preserve">///&lt;summary&gt;
///
///&lt;/summary&gt;
public   {get; set;}
</v>
      </c>
      <c r="J62" s="1" t="str">
        <f t="shared" si="2"/>
        <v xml:space="preserve"> AND t1. = @</v>
      </c>
      <c r="K62" s="1" t="str">
        <f t="shared" si="3"/>
        <v>t1.        AS ,</v>
      </c>
      <c r="L62" s="1" t="str">
        <f t="shared" si="4"/>
        <v>,</v>
      </c>
      <c r="M62" s="1" t="str">
        <f t="shared" si="5"/>
        <v>,@</v>
      </c>
      <c r="N62" s="1" t="str">
        <f t="shared" si="6"/>
        <v xml:space="preserve"> = @, </v>
      </c>
      <c r="O62" s="1" t="str">
        <f t="shared" si="9"/>
        <v>error += ExcelUtil.CheckValue(excelVo..ToString()  , "", false, (null, null, ), (false, false, true), (false, false));</v>
      </c>
      <c r="P62" s="1" t="str">
        <f t="shared" si="10"/>
        <v>excelVo. = StringUtil.IsNotEmpty(ExcelUtil.GetCell(sheet, i, j).ToString().TrimEnd())? ExcelUtil.GetCell(sheet, i, j).ToString().TrimEnd().ToUpper():"";j++;//</v>
      </c>
      <c r="Q62" s="1" t="str">
        <f t="shared" si="11"/>
        <v>ExcelUtil.SetContent(sheet, row, column++, (string)item[""]);</v>
      </c>
      <c r="R62" s="1" t="str">
        <f t="shared" si="12"/>
        <v>paramDt.Add("@" ,  );//DECIMAL</v>
      </c>
      <c r="S62" s="1" t="str">
        <f t="shared" si="13"/>
        <v>paramDt.Add("@" , master. );//</v>
      </c>
      <c r="T62" s="1" t="str">
        <f t="shared" si="18"/>
        <v>{ name: '' , sort: '' },</v>
      </c>
      <c r="U62" s="1" t="str">
        <f t="shared" si="15"/>
        <v>"":"",</v>
      </c>
      <c r="V62" s="1" t="str">
        <f t="shared" si="16"/>
        <v>this.vo. = 0 ; //</v>
      </c>
    </row>
    <row r="63" spans="1:22" x14ac:dyDescent="0.4">
      <c r="A63" s="1" t="s">
        <v>43</v>
      </c>
      <c r="D63" s="1" t="s">
        <v>6</v>
      </c>
      <c r="I63" s="1" t="str">
        <f t="shared" si="19"/>
        <v xml:space="preserve">///&lt;summary&gt;
///
///&lt;/summary&gt;
public   {get; set;}
</v>
      </c>
      <c r="J63" s="1" t="str">
        <f t="shared" si="2"/>
        <v xml:space="preserve"> AND t1. = @</v>
      </c>
      <c r="K63" s="1" t="str">
        <f t="shared" si="3"/>
        <v>t1.        AS ,</v>
      </c>
      <c r="L63" s="1" t="str">
        <f t="shared" si="4"/>
        <v>,</v>
      </c>
      <c r="M63" s="1" t="str">
        <f t="shared" si="5"/>
        <v>,@</v>
      </c>
      <c r="N63" s="1" t="str">
        <f t="shared" si="6"/>
        <v xml:space="preserve"> = @, </v>
      </c>
      <c r="O63" s="1" t="str">
        <f t="shared" si="9"/>
        <v>error += ExcelUtil.CheckValue(excelVo..ToString()  , "", false, (null, null, ), (false, false, true), (false, false));</v>
      </c>
      <c r="P63" s="1" t="str">
        <f t="shared" si="10"/>
        <v>excelVo. = StringUtil.IsNotEmpty(ExcelUtil.GetCell(sheet, i, j).ToString().TrimEnd())? ExcelUtil.GetCell(sheet, i, j).ToString().TrimEnd().ToUpper():"";j++;//</v>
      </c>
      <c r="Q63" s="1" t="str">
        <f t="shared" si="11"/>
        <v>ExcelUtil.SetContent(sheet, row, column++, (string)item[""]);</v>
      </c>
      <c r="R63" s="1" t="str">
        <f t="shared" si="12"/>
        <v>paramDt.Add("@" ,  );//DECIMAL</v>
      </c>
      <c r="S63" s="1" t="str">
        <f t="shared" si="13"/>
        <v>paramDt.Add("@" , master. );//</v>
      </c>
      <c r="T63" s="1" t="str">
        <f t="shared" si="18"/>
        <v>{ name: '' , sort: '' },</v>
      </c>
      <c r="U63" s="1" t="str">
        <f t="shared" si="15"/>
        <v>"":"",</v>
      </c>
      <c r="V63" s="1" t="str">
        <f t="shared" si="16"/>
        <v>this.vo. = 0 ; //</v>
      </c>
    </row>
    <row r="64" spans="1:22" x14ac:dyDescent="0.4">
      <c r="A64" s="1" t="s">
        <v>43</v>
      </c>
      <c r="D64" s="1" t="s">
        <v>6</v>
      </c>
      <c r="I64" s="1" t="str">
        <f t="shared" si="19"/>
        <v xml:space="preserve">///&lt;summary&gt;
///
///&lt;/summary&gt;
public   {get; set;}
</v>
      </c>
      <c r="J64" s="1" t="str">
        <f t="shared" si="2"/>
        <v xml:space="preserve"> AND t1. = @</v>
      </c>
      <c r="K64" s="1" t="str">
        <f t="shared" si="3"/>
        <v>t1.        AS ,</v>
      </c>
      <c r="L64" s="1" t="str">
        <f t="shared" si="4"/>
        <v>,</v>
      </c>
      <c r="M64" s="1" t="str">
        <f t="shared" si="5"/>
        <v>,@</v>
      </c>
      <c r="N64" s="1" t="str">
        <f t="shared" si="6"/>
        <v xml:space="preserve"> = @, </v>
      </c>
      <c r="O64" s="1" t="str">
        <f t="shared" si="9"/>
        <v>error += ExcelUtil.CheckValue(excelVo..ToString()  , "", false, (null, null, ), (false, false, true), (false, false));</v>
      </c>
      <c r="P64" s="1" t="str">
        <f t="shared" si="10"/>
        <v>excelVo. = StringUtil.IsNotEmpty(ExcelUtil.GetCell(sheet, i, j).ToString().TrimEnd())? ExcelUtil.GetCell(sheet, i, j).ToString().TrimEnd().ToUpper():"";j++;//</v>
      </c>
      <c r="Q64" s="1" t="str">
        <f t="shared" si="11"/>
        <v>ExcelUtil.SetContent(sheet, row, column++, (string)item[""]);</v>
      </c>
      <c r="R64" s="1" t="str">
        <f t="shared" si="12"/>
        <v>paramDt.Add("@" ,  );//DECIMAL</v>
      </c>
      <c r="S64" s="1" t="str">
        <f t="shared" si="13"/>
        <v>paramDt.Add("@" , master. );//</v>
      </c>
      <c r="T64" s="1" t="str">
        <f t="shared" si="18"/>
        <v>{ name: '' , sort: '' },</v>
      </c>
      <c r="U64" s="1" t="str">
        <f t="shared" si="15"/>
        <v>"":"",</v>
      </c>
      <c r="V64" s="1" t="str">
        <f t="shared" si="16"/>
        <v>this.vo. = 0 ; //</v>
      </c>
    </row>
    <row r="65" spans="1:22" x14ac:dyDescent="0.4">
      <c r="A65" s="1" t="s">
        <v>43</v>
      </c>
      <c r="D65" s="1" t="s">
        <v>6</v>
      </c>
      <c r="I65" s="1" t="str">
        <f t="shared" si="19"/>
        <v xml:space="preserve">///&lt;summary&gt;
///
///&lt;/summary&gt;
public   {get; set;}
</v>
      </c>
      <c r="J65" s="1" t="str">
        <f t="shared" si="2"/>
        <v xml:space="preserve"> AND t1. = @</v>
      </c>
      <c r="K65" s="1" t="str">
        <f t="shared" si="3"/>
        <v>t1.        AS ,</v>
      </c>
      <c r="L65" s="1" t="str">
        <f t="shared" si="4"/>
        <v>,</v>
      </c>
      <c r="M65" s="1" t="str">
        <f t="shared" si="5"/>
        <v>,@</v>
      </c>
      <c r="N65" s="1" t="str">
        <f t="shared" si="6"/>
        <v xml:space="preserve"> = @, </v>
      </c>
      <c r="O65" s="1" t="str">
        <f t="shared" si="9"/>
        <v>error += ExcelUtil.CheckValue(excelVo..ToString()  , "", false, (null, null, ), (false, false, true), (false, false));</v>
      </c>
      <c r="P65" s="1" t="str">
        <f t="shared" si="10"/>
        <v>excelVo. = StringUtil.IsNotEmpty(ExcelUtil.GetCell(sheet, i, j).ToString().TrimEnd())? ExcelUtil.GetCell(sheet, i, j).ToString().TrimEnd().ToUpper():"";j++;//</v>
      </c>
      <c r="Q65" s="1" t="str">
        <f t="shared" si="11"/>
        <v>ExcelUtil.SetContent(sheet, row, column++, (string)item[""]);</v>
      </c>
      <c r="R65" s="1" t="str">
        <f t="shared" si="12"/>
        <v>paramDt.Add("@" ,  );//DECIMAL</v>
      </c>
      <c r="S65" s="1" t="str">
        <f t="shared" si="13"/>
        <v>paramDt.Add("@" , master. );//</v>
      </c>
      <c r="T65" s="1" t="str">
        <f t="shared" si="18"/>
        <v>{ name: '' , sort: '' },</v>
      </c>
      <c r="U65" s="1" t="str">
        <f t="shared" si="15"/>
        <v>"":"",</v>
      </c>
      <c r="V65" s="1" t="str">
        <f t="shared" si="16"/>
        <v>this.vo. = 0 ; //</v>
      </c>
    </row>
    <row r="66" spans="1:22" x14ac:dyDescent="0.4">
      <c r="A66" s="1" t="s">
        <v>43</v>
      </c>
      <c r="D66" s="1" t="s">
        <v>6</v>
      </c>
      <c r="I66" s="1" t="str">
        <f t="shared" si="19"/>
        <v xml:space="preserve">///&lt;summary&gt;
///
///&lt;/summary&gt;
public   {get; set;}
</v>
      </c>
      <c r="J66" s="1" t="str">
        <f t="shared" si="2"/>
        <v xml:space="preserve"> AND t1. = @</v>
      </c>
      <c r="K66" s="1" t="str">
        <f t="shared" si="3"/>
        <v>t1.        AS ,</v>
      </c>
      <c r="L66" s="1" t="str">
        <f t="shared" si="4"/>
        <v>,</v>
      </c>
      <c r="M66" s="1" t="str">
        <f t="shared" si="5"/>
        <v>,@</v>
      </c>
      <c r="N66" s="1" t="str">
        <f t="shared" si="6"/>
        <v xml:space="preserve"> = @, </v>
      </c>
      <c r="O66" s="1" t="str">
        <f t="shared" si="9"/>
        <v>error += ExcelUtil.CheckValue(excelVo..ToString()  , "", false, (null, null, ), (false, false, true), (false, false));</v>
      </c>
      <c r="P66" s="1" t="str">
        <f t="shared" si="10"/>
        <v>excelVo. = StringUtil.IsNotEmpty(ExcelUtil.GetCell(sheet, i, j).ToString().TrimEnd())? ExcelUtil.GetCell(sheet, i, j).ToString().TrimEnd().ToUpper():"";j++;//</v>
      </c>
      <c r="Q66" s="1" t="str">
        <f t="shared" si="11"/>
        <v>ExcelUtil.SetContent(sheet, row, column++, (string)item[""]);</v>
      </c>
      <c r="R66" s="1" t="str">
        <f t="shared" si="12"/>
        <v>paramDt.Add("@" ,  );//DECIMAL</v>
      </c>
      <c r="S66" s="1" t="str">
        <f t="shared" si="13"/>
        <v>paramDt.Add("@" , master. );//</v>
      </c>
      <c r="T66" s="1" t="str">
        <f t="shared" si="18"/>
        <v>{ name: '' , sort: '' },</v>
      </c>
      <c r="U66" s="1" t="str">
        <f t="shared" si="15"/>
        <v>"":"",</v>
      </c>
      <c r="V66" s="1" t="str">
        <f t="shared" si="16"/>
        <v>this.vo. = 0 ; //</v>
      </c>
    </row>
    <row r="67" spans="1:22" x14ac:dyDescent="0.4">
      <c r="A67" s="1" t="s">
        <v>43</v>
      </c>
      <c r="D67" s="1" t="s">
        <v>6</v>
      </c>
      <c r="I67" s="1" t="str">
        <f t="shared" si="19"/>
        <v xml:space="preserve">///&lt;summary&gt;
///
///&lt;/summary&gt;
public   {get; set;}
</v>
      </c>
      <c r="J67" s="1" t="str">
        <f t="shared" si="2"/>
        <v xml:space="preserve"> AND t1. = @</v>
      </c>
      <c r="K67" s="1" t="str">
        <f t="shared" si="3"/>
        <v>t1.        AS ,</v>
      </c>
      <c r="L67" s="1" t="str">
        <f t="shared" si="4"/>
        <v>,</v>
      </c>
      <c r="M67" s="1" t="str">
        <f t="shared" si="5"/>
        <v>,@</v>
      </c>
      <c r="N67" s="1" t="str">
        <f t="shared" si="6"/>
        <v xml:space="preserve"> = @, </v>
      </c>
      <c r="O67" s="1" t="str">
        <f t="shared" si="9"/>
        <v>error += ExcelUtil.CheckValue(excelVo..ToString()  , "", false, (null, null, ), (false, false, true), (false, false));</v>
      </c>
      <c r="P67" s="1" t="str">
        <f t="shared" si="10"/>
        <v>excelVo. = StringUtil.IsNotEmpty(ExcelUtil.GetCell(sheet, i, j).ToString().TrimEnd())? ExcelUtil.GetCell(sheet, i, j).ToString().TrimEnd().ToUpper():"";j++;//</v>
      </c>
      <c r="Q67" s="1" t="str">
        <f t="shared" si="11"/>
        <v>ExcelUtil.SetContent(sheet, row, column++, (string)item[""]);</v>
      </c>
      <c r="R67" s="1" t="str">
        <f t="shared" si="12"/>
        <v>paramDt.Add("@" ,  );//DECIMAL</v>
      </c>
      <c r="S67" s="1" t="str">
        <f t="shared" si="13"/>
        <v>paramDt.Add("@" , master. );//</v>
      </c>
      <c r="T67" s="1" t="str">
        <f t="shared" si="18"/>
        <v>{ name: '' , sort: '' },</v>
      </c>
      <c r="U67" s="1" t="str">
        <f t="shared" si="15"/>
        <v>"":"",</v>
      </c>
      <c r="V67" s="1" t="str">
        <f t="shared" si="16"/>
        <v>this.vo. = 0 ; //</v>
      </c>
    </row>
    <row r="68" spans="1:22" x14ac:dyDescent="0.4">
      <c r="A68" s="1" t="s">
        <v>43</v>
      </c>
      <c r="D68" s="1" t="s">
        <v>6</v>
      </c>
      <c r="I68" s="1" t="str">
        <f t="shared" si="19"/>
        <v xml:space="preserve">///&lt;summary&gt;
///
///&lt;/summary&gt;
public   {get; set;}
</v>
      </c>
      <c r="J68" s="1" t="str">
        <f t="shared" si="2"/>
        <v xml:space="preserve"> AND t1. = @</v>
      </c>
      <c r="K68" s="1" t="str">
        <f t="shared" si="3"/>
        <v>t1.        AS ,</v>
      </c>
      <c r="L68" s="1" t="str">
        <f t="shared" si="4"/>
        <v>,</v>
      </c>
      <c r="M68" s="1" t="str">
        <f t="shared" si="5"/>
        <v>,@</v>
      </c>
      <c r="N68" s="1" t="str">
        <f t="shared" si="6"/>
        <v xml:space="preserve"> = @, </v>
      </c>
      <c r="O68" s="1" t="str">
        <f t="shared" si="9"/>
        <v>error += ExcelUtil.CheckValue(excelVo..ToString()  , "", false, (null, null, ), (false, false, true), (false, false));</v>
      </c>
      <c r="P68" s="1" t="str">
        <f t="shared" si="10"/>
        <v>excelVo. = StringUtil.IsNotEmpty(ExcelUtil.GetCell(sheet, i, j).ToString().TrimEnd())? ExcelUtil.GetCell(sheet, i, j).ToString().TrimEnd().ToUpper():"";j++;//</v>
      </c>
      <c r="Q68" s="1" t="str">
        <f t="shared" si="11"/>
        <v>ExcelUtil.SetContent(sheet, row, column++, (string)item[""]);</v>
      </c>
      <c r="R68" s="1" t="str">
        <f t="shared" si="12"/>
        <v>paramDt.Add("@" ,  );//DECIMAL</v>
      </c>
      <c r="S68" s="1" t="str">
        <f t="shared" si="13"/>
        <v>paramDt.Add("@" , master. );//</v>
      </c>
      <c r="T68" s="1" t="str">
        <f t="shared" si="18"/>
        <v>{ name: '' , sort: '' },</v>
      </c>
      <c r="U68" s="1" t="str">
        <f t="shared" si="15"/>
        <v>"":"",</v>
      </c>
      <c r="V68" s="1" t="str">
        <f t="shared" si="16"/>
        <v>this.vo. = 0 ; //</v>
      </c>
    </row>
    <row r="69" spans="1:22" x14ac:dyDescent="0.4">
      <c r="A69" s="1" t="s">
        <v>43</v>
      </c>
      <c r="D69" s="1" t="s">
        <v>6</v>
      </c>
      <c r="I69" s="1" t="str">
        <f t="shared" si="19"/>
        <v xml:space="preserve">///&lt;summary&gt;
///
///&lt;/summary&gt;
public   {get; set;}
</v>
      </c>
      <c r="J69" s="1" t="str">
        <f t="shared" ref="J69:J88" si="20">" AND t1."&amp;B69&amp;" = "&amp;"@"&amp;B69</f>
        <v xml:space="preserve"> AND t1. = @</v>
      </c>
      <c r="K69" s="1" t="str">
        <f t="shared" ref="K69:K88" si="21">"t1."&amp;B69&amp;"        "&amp;"AS "&amp;G69&amp;","</f>
        <v>t1.        AS ,</v>
      </c>
      <c r="L69" s="1" t="str">
        <f t="shared" ref="L69:L88" si="22">","&amp; B69</f>
        <v>,</v>
      </c>
      <c r="M69" s="1" t="str">
        <f t="shared" ref="M69:M88" si="23">",@"&amp;B69</f>
        <v>,@</v>
      </c>
      <c r="N69" s="1" t="str">
        <f t="shared" ref="N69:N88" si="24">B69&amp;" = "&amp;"@"&amp;B69&amp;", "</f>
        <v xml:space="preserve"> = @, </v>
      </c>
      <c r="O69" s="1" t="str">
        <f t="shared" si="9"/>
        <v>error += ExcelUtil.CheckValue(excelVo..ToString()  , "", false, (null, null, ), (false, false, true), (false, false));</v>
      </c>
      <c r="P69" s="1" t="str">
        <f t="shared" si="10"/>
        <v>excelVo. = StringUtil.IsNotEmpty(ExcelUtil.GetCell(sheet, i, j).ToString().TrimEnd())? ExcelUtil.GetCell(sheet, i, j).ToString().TrimEnd().ToUpper():"";j++;//</v>
      </c>
      <c r="Q69" s="1" t="str">
        <f t="shared" si="11"/>
        <v>ExcelUtil.SetContent(sheet, row, column++, (string)item[""]);</v>
      </c>
      <c r="R69" s="1" t="str">
        <f t="shared" si="12"/>
        <v>paramDt.Add("@" ,  );//DECIMAL</v>
      </c>
      <c r="S69" s="1" t="str">
        <f t="shared" si="13"/>
        <v>paramDt.Add("@" , master. );//</v>
      </c>
      <c r="T69" s="1" t="str">
        <f t="shared" si="18"/>
        <v>{ name: '' , sort: '' },</v>
      </c>
      <c r="U69" s="1" t="str">
        <f t="shared" si="15"/>
        <v>"":"",</v>
      </c>
      <c r="V69" s="1" t="str">
        <f t="shared" si="16"/>
        <v>this.vo. = 0 ; //</v>
      </c>
    </row>
    <row r="70" spans="1:22" x14ac:dyDescent="0.4">
      <c r="A70" s="1" t="s">
        <v>43</v>
      </c>
      <c r="D70" s="1" t="s">
        <v>6</v>
      </c>
      <c r="I70" s="1" t="str">
        <f t="shared" si="19"/>
        <v xml:space="preserve">///&lt;summary&gt;
///
///&lt;/summary&gt;
public   {get; set;}
</v>
      </c>
      <c r="J70" s="1" t="str">
        <f t="shared" si="20"/>
        <v xml:space="preserve"> AND t1. = @</v>
      </c>
      <c r="K70" s="1" t="str">
        <f t="shared" si="21"/>
        <v>t1.        AS ,</v>
      </c>
      <c r="L70" s="1" t="str">
        <f t="shared" si="22"/>
        <v>,</v>
      </c>
      <c r="M70" s="1" t="str">
        <f t="shared" si="23"/>
        <v>,@</v>
      </c>
      <c r="N70" s="1" t="str">
        <f t="shared" si="24"/>
        <v xml:space="preserve"> = @, </v>
      </c>
      <c r="O70" s="1" t="str">
        <f t="shared" ref="O70:O88" si="25">"error += ExcelUtil.CheckValue("&amp; IF(LOWER(D70)="decimal","excelVo."&amp;G70&amp;".ToString() ","excelVo."&amp;G70)  &amp;" , "&amp; """" &amp; TRIM(C70)&amp;""""&amp;", false, (null, null, "&amp;E70&amp;"), ("&amp;IF(LOWER(D70)="decimal","false","true")&amp;", false, "&amp;IF(LOWER(D70)="decimal","true","false")&amp;"), (false, false));"</f>
        <v>error += ExcelUtil.CheckValue(excelVo..ToString()  , "", false, (null, null, ), (false, false, true), (false, false));</v>
      </c>
      <c r="P70" s="1" t="str">
        <f t="shared" ref="P70:P88" si="26">"excelVo."&amp; G70&amp; " = StringUtil.IsNotEmpty(ExcelUtil.GetCell(sheet, i, j).ToString().TrimEnd())? ExcelUtil.GetCell(sheet, i, j).ToString().TrimEnd().ToUpper():"&amp; """" &amp; """" &amp;";j++;" &amp;"//"&amp;C70</f>
        <v>excelVo. = StringUtil.IsNotEmpty(ExcelUtil.GetCell(sheet, i, j).ToString().TrimEnd())? ExcelUtil.GetCell(sheet, i, j).ToString().TrimEnd().ToUpper():"";j++;//</v>
      </c>
      <c r="Q70" s="1" t="str">
        <f t="shared" ref="Q70:Q88" si="27">"ExcelUtil.SetContent(sheet, row, column++, (string)item["&amp;""""&amp;F70 &amp;""""&amp;"]);"</f>
        <v>ExcelUtil.SetContent(sheet, row, column++, (string)item[""]);</v>
      </c>
      <c r="R70" s="1" t="str">
        <f t="shared" ref="R70:R88" si="28">"paramDt.Add("&amp; """" &amp;"@"&amp; B70&amp; """" &amp;" , "&amp; G70 &amp;" );//"&amp;D70</f>
        <v>paramDt.Add("@" ,  );//DECIMAL</v>
      </c>
      <c r="S70" s="1" t="str">
        <f t="shared" ref="S70:S88" si="29">"paramDt.Add("&amp; """" &amp;"@"&amp; B70&amp; """" &amp;" , master."&amp; G70 &amp;" );//"&amp;C70</f>
        <v>paramDt.Add("@" , master. );//</v>
      </c>
      <c r="T70" s="1" t="str">
        <f t="shared" si="18"/>
        <v>{ name: '' , sort: '' },</v>
      </c>
      <c r="U70" s="1" t="str">
        <f t="shared" ref="U70:U88" si="30">""""&amp;F70&amp;""""&amp;":"&amp;""""&amp;TRIM(C70)&amp;""""&amp;","</f>
        <v>"":"",</v>
      </c>
      <c r="V70" s="1" t="str">
        <f t="shared" ref="V70:V88" si="31">IF(LOWER(D70)="decimal","this.vo."&amp;F70&amp;" = "&amp;0,"this.vo."&amp;F70&amp;" = ''")&amp;" ; //"&amp;TRIM(C70)</f>
        <v>this.vo. = 0 ; //</v>
      </c>
    </row>
    <row r="71" spans="1:22" x14ac:dyDescent="0.4">
      <c r="A71" s="1" t="s">
        <v>43</v>
      </c>
      <c r="D71" s="1" t="s">
        <v>6</v>
      </c>
      <c r="I71" s="1" t="str">
        <f t="shared" si="19"/>
        <v xml:space="preserve">///&lt;summary&gt;
///
///&lt;/summary&gt;
public   {get; set;}
</v>
      </c>
      <c r="J71" s="1" t="str">
        <f t="shared" si="20"/>
        <v xml:space="preserve"> AND t1. = @</v>
      </c>
      <c r="K71" s="1" t="str">
        <f t="shared" si="21"/>
        <v>t1.        AS ,</v>
      </c>
      <c r="L71" s="1" t="str">
        <f t="shared" si="22"/>
        <v>,</v>
      </c>
      <c r="M71" s="1" t="str">
        <f t="shared" si="23"/>
        <v>,@</v>
      </c>
      <c r="N71" s="1" t="str">
        <f t="shared" si="24"/>
        <v xml:space="preserve"> = @, </v>
      </c>
      <c r="O71" s="1" t="str">
        <f t="shared" si="25"/>
        <v>error += ExcelUtil.CheckValue(excelVo..ToString()  , "", false, (null, null, ), (false, false, true), (false, false));</v>
      </c>
      <c r="P71" s="1" t="str">
        <f t="shared" si="26"/>
        <v>excelVo. = StringUtil.IsNotEmpty(ExcelUtil.GetCell(sheet, i, j).ToString().TrimEnd())? ExcelUtil.GetCell(sheet, i, j).ToString().TrimEnd().ToUpper():"";j++;//</v>
      </c>
      <c r="Q71" s="1" t="str">
        <f t="shared" si="27"/>
        <v>ExcelUtil.SetContent(sheet, row, column++, (string)item[""]);</v>
      </c>
      <c r="R71" s="1" t="str">
        <f t="shared" si="28"/>
        <v>paramDt.Add("@" ,  );//DECIMAL</v>
      </c>
      <c r="S71" s="1" t="str">
        <f t="shared" si="29"/>
        <v>paramDt.Add("@" , master. );//</v>
      </c>
      <c r="T71" s="1" t="str">
        <f t="shared" si="18"/>
        <v>{ name: '' , sort: '' },</v>
      </c>
      <c r="U71" s="1" t="str">
        <f t="shared" si="30"/>
        <v>"":"",</v>
      </c>
      <c r="V71" s="1" t="str">
        <f t="shared" si="31"/>
        <v>this.vo. = 0 ; //</v>
      </c>
    </row>
    <row r="72" spans="1:22" x14ac:dyDescent="0.4">
      <c r="A72" s="1" t="s">
        <v>43</v>
      </c>
      <c r="D72" s="1" t="s">
        <v>6</v>
      </c>
      <c r="I72" s="1" t="str">
        <f t="shared" si="19"/>
        <v xml:space="preserve">///&lt;summary&gt;
///
///&lt;/summary&gt;
public   {get; set;}
</v>
      </c>
      <c r="J72" s="1" t="str">
        <f t="shared" si="20"/>
        <v xml:space="preserve"> AND t1. = @</v>
      </c>
      <c r="K72" s="1" t="str">
        <f t="shared" si="21"/>
        <v>t1.        AS ,</v>
      </c>
      <c r="L72" s="1" t="str">
        <f t="shared" si="22"/>
        <v>,</v>
      </c>
      <c r="M72" s="1" t="str">
        <f t="shared" si="23"/>
        <v>,@</v>
      </c>
      <c r="N72" s="1" t="str">
        <f t="shared" si="24"/>
        <v xml:space="preserve"> = @, </v>
      </c>
      <c r="O72" s="1" t="str">
        <f t="shared" si="25"/>
        <v>error += ExcelUtil.CheckValue(excelVo..ToString()  , "", false, (null, null, ), (false, false, true), (false, false));</v>
      </c>
      <c r="P72" s="1" t="str">
        <f t="shared" si="26"/>
        <v>excelVo. = StringUtil.IsNotEmpty(ExcelUtil.GetCell(sheet, i, j).ToString().TrimEnd())? ExcelUtil.GetCell(sheet, i, j).ToString().TrimEnd().ToUpper():"";j++;//</v>
      </c>
      <c r="Q72" s="1" t="str">
        <f t="shared" si="27"/>
        <v>ExcelUtil.SetContent(sheet, row, column++, (string)item[""]);</v>
      </c>
      <c r="R72" s="1" t="str">
        <f t="shared" si="28"/>
        <v>paramDt.Add("@" ,  );//DECIMAL</v>
      </c>
      <c r="S72" s="1" t="str">
        <f t="shared" si="29"/>
        <v>paramDt.Add("@" , master. );//</v>
      </c>
      <c r="T72" s="1" t="str">
        <f t="shared" si="18"/>
        <v>{ name: '' , sort: '' },</v>
      </c>
      <c r="U72" s="1" t="str">
        <f t="shared" si="30"/>
        <v>"":"",</v>
      </c>
      <c r="V72" s="1" t="str">
        <f t="shared" si="31"/>
        <v>this.vo. = 0 ; //</v>
      </c>
    </row>
    <row r="73" spans="1:22" x14ac:dyDescent="0.4">
      <c r="A73" s="1" t="s">
        <v>43</v>
      </c>
      <c r="D73" s="1" t="s">
        <v>6</v>
      </c>
      <c r="I73" s="1" t="str">
        <f t="shared" si="19"/>
        <v xml:space="preserve">///&lt;summary&gt;
///
///&lt;/summary&gt;
public   {get; set;}
</v>
      </c>
      <c r="J73" s="1" t="str">
        <f t="shared" si="20"/>
        <v xml:space="preserve"> AND t1. = @</v>
      </c>
      <c r="K73" s="1" t="str">
        <f t="shared" si="21"/>
        <v>t1.        AS ,</v>
      </c>
      <c r="L73" s="1" t="str">
        <f t="shared" si="22"/>
        <v>,</v>
      </c>
      <c r="M73" s="1" t="str">
        <f t="shared" si="23"/>
        <v>,@</v>
      </c>
      <c r="N73" s="1" t="str">
        <f t="shared" si="24"/>
        <v xml:space="preserve"> = @, </v>
      </c>
      <c r="O73" s="1" t="str">
        <f t="shared" si="25"/>
        <v>error += ExcelUtil.CheckValue(excelVo..ToString()  , "", false, (null, null, ), (false, false, true), (false, false));</v>
      </c>
      <c r="P73" s="1" t="str">
        <f t="shared" si="26"/>
        <v>excelVo. = StringUtil.IsNotEmpty(ExcelUtil.GetCell(sheet, i, j).ToString().TrimEnd())? ExcelUtil.GetCell(sheet, i, j).ToString().TrimEnd().ToUpper():"";j++;//</v>
      </c>
      <c r="Q73" s="1" t="str">
        <f t="shared" si="27"/>
        <v>ExcelUtil.SetContent(sheet, row, column++, (string)item[""]);</v>
      </c>
      <c r="R73" s="1" t="str">
        <f t="shared" si="28"/>
        <v>paramDt.Add("@" ,  );//DECIMAL</v>
      </c>
      <c r="S73" s="1" t="str">
        <f t="shared" si="29"/>
        <v>paramDt.Add("@" , master. );//</v>
      </c>
      <c r="T73" s="1" t="str">
        <f t="shared" si="18"/>
        <v>{ name: '' , sort: '' },</v>
      </c>
      <c r="U73" s="1" t="str">
        <f t="shared" si="30"/>
        <v>"":"",</v>
      </c>
      <c r="V73" s="1" t="str">
        <f t="shared" si="31"/>
        <v>this.vo. = 0 ; //</v>
      </c>
    </row>
    <row r="74" spans="1:22" x14ac:dyDescent="0.4">
      <c r="A74" s="1" t="s">
        <v>43</v>
      </c>
      <c r="D74" s="1" t="s">
        <v>6</v>
      </c>
      <c r="I74" s="1" t="str">
        <f t="shared" si="19"/>
        <v xml:space="preserve">///&lt;summary&gt;
///
///&lt;/summary&gt;
public   {get; set;}
</v>
      </c>
      <c r="J74" s="1" t="str">
        <f t="shared" si="20"/>
        <v xml:space="preserve"> AND t1. = @</v>
      </c>
      <c r="K74" s="1" t="str">
        <f t="shared" si="21"/>
        <v>t1.        AS ,</v>
      </c>
      <c r="L74" s="1" t="str">
        <f t="shared" si="22"/>
        <v>,</v>
      </c>
      <c r="M74" s="1" t="str">
        <f t="shared" si="23"/>
        <v>,@</v>
      </c>
      <c r="N74" s="1" t="str">
        <f t="shared" si="24"/>
        <v xml:space="preserve"> = @, </v>
      </c>
      <c r="O74" s="1" t="str">
        <f t="shared" si="25"/>
        <v>error += ExcelUtil.CheckValue(excelVo..ToString()  , "", false, (null, null, ), (false, false, true), (false, false));</v>
      </c>
      <c r="P74" s="1" t="str">
        <f t="shared" si="26"/>
        <v>excelVo. = StringUtil.IsNotEmpty(ExcelUtil.GetCell(sheet, i, j).ToString().TrimEnd())? ExcelUtil.GetCell(sheet, i, j).ToString().TrimEnd().ToUpper():"";j++;//</v>
      </c>
      <c r="Q74" s="1" t="str">
        <f t="shared" si="27"/>
        <v>ExcelUtil.SetContent(sheet, row, column++, (string)item[""]);</v>
      </c>
      <c r="R74" s="1" t="str">
        <f t="shared" si="28"/>
        <v>paramDt.Add("@" ,  );//DECIMAL</v>
      </c>
      <c r="S74" s="1" t="str">
        <f t="shared" si="29"/>
        <v>paramDt.Add("@" , master. );//</v>
      </c>
      <c r="T74" s="1" t="str">
        <f t="shared" si="18"/>
        <v>{ name: '' , sort: '' },</v>
      </c>
      <c r="U74" s="1" t="str">
        <f t="shared" si="30"/>
        <v>"":"",</v>
      </c>
      <c r="V74" s="1" t="str">
        <f t="shared" si="31"/>
        <v>this.vo. = 0 ; //</v>
      </c>
    </row>
    <row r="75" spans="1:22" x14ac:dyDescent="0.4">
      <c r="A75" s="1" t="s">
        <v>43</v>
      </c>
      <c r="D75" s="1" t="s">
        <v>6</v>
      </c>
      <c r="I75" s="1" t="str">
        <f t="shared" si="19"/>
        <v xml:space="preserve">///&lt;summary&gt;
///
///&lt;/summary&gt;
public   {get; set;}
</v>
      </c>
      <c r="J75" s="1" t="str">
        <f t="shared" si="20"/>
        <v xml:space="preserve"> AND t1. = @</v>
      </c>
      <c r="K75" s="1" t="str">
        <f t="shared" si="21"/>
        <v>t1.        AS ,</v>
      </c>
      <c r="L75" s="1" t="str">
        <f t="shared" si="22"/>
        <v>,</v>
      </c>
      <c r="M75" s="1" t="str">
        <f t="shared" si="23"/>
        <v>,@</v>
      </c>
      <c r="N75" s="1" t="str">
        <f t="shared" si="24"/>
        <v xml:space="preserve"> = @, </v>
      </c>
      <c r="O75" s="1" t="str">
        <f t="shared" si="25"/>
        <v>error += ExcelUtil.CheckValue(excelVo..ToString()  , "", false, (null, null, ), (false, false, true), (false, false));</v>
      </c>
      <c r="P75" s="1" t="str">
        <f t="shared" si="26"/>
        <v>excelVo. = StringUtil.IsNotEmpty(ExcelUtil.GetCell(sheet, i, j).ToString().TrimEnd())? ExcelUtil.GetCell(sheet, i, j).ToString().TrimEnd().ToUpper():"";j++;//</v>
      </c>
      <c r="Q75" s="1" t="str">
        <f t="shared" si="27"/>
        <v>ExcelUtil.SetContent(sheet, row, column++, (string)item[""]);</v>
      </c>
      <c r="R75" s="1" t="str">
        <f t="shared" si="28"/>
        <v>paramDt.Add("@" ,  );//DECIMAL</v>
      </c>
      <c r="S75" s="1" t="str">
        <f t="shared" si="29"/>
        <v>paramDt.Add("@" , master. );//</v>
      </c>
      <c r="T75" s="1" t="str">
        <f t="shared" si="18"/>
        <v>{ name: '' , sort: '' },</v>
      </c>
      <c r="U75" s="1" t="str">
        <f t="shared" si="30"/>
        <v>"":"",</v>
      </c>
      <c r="V75" s="1" t="str">
        <f t="shared" si="31"/>
        <v>this.vo. = 0 ; //</v>
      </c>
    </row>
    <row r="76" spans="1:22" x14ac:dyDescent="0.4">
      <c r="A76" s="1" t="s">
        <v>43</v>
      </c>
      <c r="D76" s="1" t="s">
        <v>6</v>
      </c>
      <c r="I76" s="1" t="str">
        <f t="shared" si="19"/>
        <v xml:space="preserve">///&lt;summary&gt;
///
///&lt;/summary&gt;
public   {get; set;}
</v>
      </c>
      <c r="J76" s="1" t="str">
        <f t="shared" si="20"/>
        <v xml:space="preserve"> AND t1. = @</v>
      </c>
      <c r="K76" s="1" t="str">
        <f t="shared" si="21"/>
        <v>t1.        AS ,</v>
      </c>
      <c r="L76" s="1" t="str">
        <f t="shared" si="22"/>
        <v>,</v>
      </c>
      <c r="M76" s="1" t="str">
        <f t="shared" si="23"/>
        <v>,@</v>
      </c>
      <c r="N76" s="1" t="str">
        <f t="shared" si="24"/>
        <v xml:space="preserve"> = @, </v>
      </c>
      <c r="O76" s="1" t="str">
        <f t="shared" si="25"/>
        <v>error += ExcelUtil.CheckValue(excelVo..ToString()  , "", false, (null, null, ), (false, false, true), (false, false));</v>
      </c>
      <c r="P76" s="1" t="str">
        <f t="shared" si="26"/>
        <v>excelVo. = StringUtil.IsNotEmpty(ExcelUtil.GetCell(sheet, i, j).ToString().TrimEnd())? ExcelUtil.GetCell(sheet, i, j).ToString().TrimEnd().ToUpper():"";j++;//</v>
      </c>
      <c r="Q76" s="1" t="str">
        <f t="shared" si="27"/>
        <v>ExcelUtil.SetContent(sheet, row, column++, (string)item[""]);</v>
      </c>
      <c r="R76" s="1" t="str">
        <f t="shared" si="28"/>
        <v>paramDt.Add("@" ,  );//DECIMAL</v>
      </c>
      <c r="S76" s="1" t="str">
        <f t="shared" si="29"/>
        <v>paramDt.Add("@" , master. );//</v>
      </c>
      <c r="T76" s="1" t="str">
        <f t="shared" si="18"/>
        <v>{ name: '' , sort: '' },</v>
      </c>
      <c r="U76" s="1" t="str">
        <f t="shared" si="30"/>
        <v>"":"",</v>
      </c>
      <c r="V76" s="1" t="str">
        <f t="shared" si="31"/>
        <v>this.vo. = 0 ; //</v>
      </c>
    </row>
    <row r="77" spans="1:22" x14ac:dyDescent="0.4">
      <c r="A77" s="1" t="s">
        <v>43</v>
      </c>
      <c r="D77" s="1" t="s">
        <v>6</v>
      </c>
      <c r="I77" s="1" t="str">
        <f t="shared" si="19"/>
        <v xml:space="preserve">///&lt;summary&gt;
///
///&lt;/summary&gt;
public   {get; set;}
</v>
      </c>
      <c r="J77" s="1" t="str">
        <f t="shared" si="20"/>
        <v xml:space="preserve"> AND t1. = @</v>
      </c>
      <c r="K77" s="1" t="str">
        <f t="shared" si="21"/>
        <v>t1.        AS ,</v>
      </c>
      <c r="L77" s="1" t="str">
        <f t="shared" si="22"/>
        <v>,</v>
      </c>
      <c r="M77" s="1" t="str">
        <f t="shared" si="23"/>
        <v>,@</v>
      </c>
      <c r="N77" s="1" t="str">
        <f t="shared" si="24"/>
        <v xml:space="preserve"> = @, </v>
      </c>
      <c r="O77" s="1" t="str">
        <f t="shared" si="25"/>
        <v>error += ExcelUtil.CheckValue(excelVo..ToString()  , "", false, (null, null, ), (false, false, true), (false, false));</v>
      </c>
      <c r="P77" s="1" t="str">
        <f t="shared" si="26"/>
        <v>excelVo. = StringUtil.IsNotEmpty(ExcelUtil.GetCell(sheet, i, j).ToString().TrimEnd())? ExcelUtil.GetCell(sheet, i, j).ToString().TrimEnd().ToUpper():"";j++;//</v>
      </c>
      <c r="Q77" s="1" t="str">
        <f t="shared" si="27"/>
        <v>ExcelUtil.SetContent(sheet, row, column++, (string)item[""]);</v>
      </c>
      <c r="R77" s="1" t="str">
        <f t="shared" si="28"/>
        <v>paramDt.Add("@" ,  );//DECIMAL</v>
      </c>
      <c r="S77" s="1" t="str">
        <f t="shared" si="29"/>
        <v>paramDt.Add("@" , master. );//</v>
      </c>
      <c r="T77" s="1" t="str">
        <f t="shared" si="18"/>
        <v>{ name: '' , sort: '' },</v>
      </c>
      <c r="U77" s="1" t="str">
        <f t="shared" si="30"/>
        <v>"":"",</v>
      </c>
      <c r="V77" s="1" t="str">
        <f t="shared" si="31"/>
        <v>this.vo. = 0 ; //</v>
      </c>
    </row>
    <row r="78" spans="1:22" x14ac:dyDescent="0.4">
      <c r="A78" s="1" t="s">
        <v>43</v>
      </c>
      <c r="D78" s="1" t="s">
        <v>6</v>
      </c>
      <c r="I78" s="1" t="str">
        <f t="shared" si="19"/>
        <v xml:space="preserve">///&lt;summary&gt;
///
///&lt;/summary&gt;
public   {get; set;}
</v>
      </c>
      <c r="J78" s="1" t="str">
        <f t="shared" si="20"/>
        <v xml:space="preserve"> AND t1. = @</v>
      </c>
      <c r="K78" s="1" t="str">
        <f t="shared" si="21"/>
        <v>t1.        AS ,</v>
      </c>
      <c r="L78" s="1" t="str">
        <f t="shared" si="22"/>
        <v>,</v>
      </c>
      <c r="M78" s="1" t="str">
        <f t="shared" si="23"/>
        <v>,@</v>
      </c>
      <c r="N78" s="1" t="str">
        <f t="shared" si="24"/>
        <v xml:space="preserve"> = @, </v>
      </c>
      <c r="O78" s="1" t="str">
        <f t="shared" si="25"/>
        <v>error += ExcelUtil.CheckValue(excelVo..ToString()  , "", false, (null, null, ), (false, false, true), (false, false));</v>
      </c>
      <c r="P78" s="1" t="str">
        <f t="shared" si="26"/>
        <v>excelVo. = StringUtil.IsNotEmpty(ExcelUtil.GetCell(sheet, i, j).ToString().TrimEnd())? ExcelUtil.GetCell(sheet, i, j).ToString().TrimEnd().ToUpper():"";j++;//</v>
      </c>
      <c r="Q78" s="1" t="str">
        <f t="shared" si="27"/>
        <v>ExcelUtil.SetContent(sheet, row, column++, (string)item[""]);</v>
      </c>
      <c r="R78" s="1" t="str">
        <f t="shared" si="28"/>
        <v>paramDt.Add("@" ,  );//DECIMAL</v>
      </c>
      <c r="S78" s="1" t="str">
        <f t="shared" si="29"/>
        <v>paramDt.Add("@" , master. );//</v>
      </c>
      <c r="T78" s="1" t="str">
        <f t="shared" si="18"/>
        <v>{ name: '' , sort: '' },</v>
      </c>
      <c r="U78" s="1" t="str">
        <f t="shared" si="30"/>
        <v>"":"",</v>
      </c>
      <c r="V78" s="1" t="str">
        <f t="shared" si="31"/>
        <v>this.vo. = 0 ; //</v>
      </c>
    </row>
    <row r="79" spans="1:22" x14ac:dyDescent="0.4">
      <c r="A79" s="1" t="s">
        <v>43</v>
      </c>
      <c r="D79" s="1" t="s">
        <v>5</v>
      </c>
      <c r="I79" s="1" t="str">
        <f t="shared" si="19"/>
        <v xml:space="preserve">///&lt;summary&gt;
///
///&lt;/summary&gt;
public   {get; set;}
</v>
      </c>
      <c r="J79" s="1" t="str">
        <f t="shared" si="20"/>
        <v xml:space="preserve"> AND t1. = @</v>
      </c>
      <c r="K79" s="1" t="str">
        <f t="shared" si="21"/>
        <v>t1.        AS ,</v>
      </c>
      <c r="L79" s="1" t="str">
        <f t="shared" si="22"/>
        <v>,</v>
      </c>
      <c r="M79" s="1" t="str">
        <f t="shared" si="23"/>
        <v>,@</v>
      </c>
      <c r="N79" s="1" t="str">
        <f t="shared" si="24"/>
        <v xml:space="preserve"> = @, </v>
      </c>
      <c r="O79" s="1" t="str">
        <f t="shared" si="25"/>
        <v>error += ExcelUtil.CheckValue(excelVo. , "", false, (null, null, ), (true, false, false), (false, false));</v>
      </c>
      <c r="P79" s="1" t="str">
        <f t="shared" si="26"/>
        <v>excelVo. = StringUtil.IsNotEmpty(ExcelUtil.GetCell(sheet, i, j).ToString().TrimEnd())? ExcelUtil.GetCell(sheet, i, j).ToString().TrimEnd().ToUpper():"";j++;//</v>
      </c>
      <c r="Q79" s="1" t="str">
        <f t="shared" si="27"/>
        <v>ExcelUtil.SetContent(sheet, row, column++, (string)item[""]);</v>
      </c>
      <c r="R79" s="1" t="str">
        <f t="shared" si="28"/>
        <v>paramDt.Add("@" ,  );//VARCHAR</v>
      </c>
      <c r="S79" s="1" t="str">
        <f t="shared" si="29"/>
        <v>paramDt.Add("@" , master. );//</v>
      </c>
      <c r="T79" s="1" t="str">
        <f t="shared" si="18"/>
        <v>{ name: '' , sort: '' },</v>
      </c>
      <c r="U79" s="1" t="str">
        <f t="shared" si="30"/>
        <v>"":"",</v>
      </c>
      <c r="V79" s="1" t="str">
        <f t="shared" si="31"/>
        <v>this.vo. = '' ; //</v>
      </c>
    </row>
    <row r="80" spans="1:22" x14ac:dyDescent="0.4">
      <c r="A80" s="1" t="s">
        <v>43</v>
      </c>
      <c r="D80" s="1" t="s">
        <v>5</v>
      </c>
      <c r="I80" s="1" t="str">
        <f t="shared" si="19"/>
        <v xml:space="preserve">///&lt;summary&gt;
///
///&lt;/summary&gt;
public   {get; set;}
</v>
      </c>
      <c r="J80" s="1" t="str">
        <f t="shared" si="20"/>
        <v xml:space="preserve"> AND t1. = @</v>
      </c>
      <c r="K80" s="1" t="str">
        <f t="shared" si="21"/>
        <v>t1.        AS ,</v>
      </c>
      <c r="L80" s="1" t="str">
        <f t="shared" si="22"/>
        <v>,</v>
      </c>
      <c r="M80" s="1" t="str">
        <f t="shared" si="23"/>
        <v>,@</v>
      </c>
      <c r="N80" s="1" t="str">
        <f t="shared" si="24"/>
        <v xml:space="preserve"> = @, </v>
      </c>
      <c r="O80" s="1" t="str">
        <f t="shared" si="25"/>
        <v>error += ExcelUtil.CheckValue(excelVo. , "", false, (null, null, ), (true, false, false), (false, false));</v>
      </c>
      <c r="P80" s="1" t="str">
        <f t="shared" si="26"/>
        <v>excelVo. = StringUtil.IsNotEmpty(ExcelUtil.GetCell(sheet, i, j).ToString().TrimEnd())? ExcelUtil.GetCell(sheet, i, j).ToString().TrimEnd().ToUpper():"";j++;//</v>
      </c>
      <c r="Q80" s="1" t="str">
        <f t="shared" si="27"/>
        <v>ExcelUtil.SetContent(sheet, row, column++, (string)item[""]);</v>
      </c>
      <c r="R80" s="1" t="str">
        <f t="shared" si="28"/>
        <v>paramDt.Add("@" ,  );//VARCHAR</v>
      </c>
      <c r="S80" s="1" t="str">
        <f t="shared" si="29"/>
        <v>paramDt.Add("@" , master. );//</v>
      </c>
      <c r="T80" s="1" t="str">
        <f t="shared" si="18"/>
        <v>{ name: '' , sort: '' },</v>
      </c>
      <c r="U80" s="1" t="str">
        <f t="shared" si="30"/>
        <v>"":"",</v>
      </c>
      <c r="V80" s="1" t="str">
        <f t="shared" si="31"/>
        <v>this.vo. = '' ; //</v>
      </c>
    </row>
    <row r="81" spans="1:22" x14ac:dyDescent="0.4">
      <c r="A81" s="1" t="s">
        <v>43</v>
      </c>
      <c r="D81" s="1" t="s">
        <v>5</v>
      </c>
      <c r="I81" s="1" t="str">
        <f t="shared" si="19"/>
        <v xml:space="preserve">///&lt;summary&gt;
///
///&lt;/summary&gt;
public   {get; set;}
</v>
      </c>
      <c r="J81" s="1" t="str">
        <f t="shared" si="20"/>
        <v xml:space="preserve"> AND t1. = @</v>
      </c>
      <c r="K81" s="1" t="str">
        <f t="shared" si="21"/>
        <v>t1.        AS ,</v>
      </c>
      <c r="L81" s="1" t="str">
        <f t="shared" si="22"/>
        <v>,</v>
      </c>
      <c r="M81" s="1" t="str">
        <f t="shared" si="23"/>
        <v>,@</v>
      </c>
      <c r="N81" s="1" t="str">
        <f t="shared" si="24"/>
        <v xml:space="preserve"> = @, </v>
      </c>
      <c r="O81" s="1" t="str">
        <f t="shared" si="25"/>
        <v>error += ExcelUtil.CheckValue(excelVo. , "", false, (null, null, ), (true, false, false), (false, false));</v>
      </c>
      <c r="P81" s="1" t="str">
        <f t="shared" si="26"/>
        <v>excelVo. = StringUtil.IsNotEmpty(ExcelUtil.GetCell(sheet, i, j).ToString().TrimEnd())? ExcelUtil.GetCell(sheet, i, j).ToString().TrimEnd().ToUpper():"";j++;//</v>
      </c>
      <c r="Q81" s="1" t="str">
        <f t="shared" si="27"/>
        <v>ExcelUtil.SetContent(sheet, row, column++, (string)item[""]);</v>
      </c>
      <c r="R81" s="1" t="str">
        <f t="shared" si="28"/>
        <v>paramDt.Add("@" ,  );//VARCHAR</v>
      </c>
      <c r="S81" s="1" t="str">
        <f t="shared" si="29"/>
        <v>paramDt.Add("@" , master. );//</v>
      </c>
      <c r="T81" s="1" t="str">
        <f t="shared" si="18"/>
        <v>{ name: '' , sort: '' },</v>
      </c>
      <c r="U81" s="1" t="str">
        <f t="shared" si="30"/>
        <v>"":"",</v>
      </c>
      <c r="V81" s="1" t="str">
        <f t="shared" si="31"/>
        <v>this.vo. = '' ; //</v>
      </c>
    </row>
    <row r="82" spans="1:22" x14ac:dyDescent="0.4">
      <c r="A82" s="1" t="s">
        <v>43</v>
      </c>
      <c r="D82" s="1" t="s">
        <v>5</v>
      </c>
      <c r="I82" s="1" t="str">
        <f t="shared" si="19"/>
        <v xml:space="preserve">///&lt;summary&gt;
///
///&lt;/summary&gt;
public   {get; set;}
</v>
      </c>
      <c r="J82" s="1" t="str">
        <f t="shared" si="20"/>
        <v xml:space="preserve"> AND t1. = @</v>
      </c>
      <c r="K82" s="1" t="str">
        <f t="shared" si="21"/>
        <v>t1.        AS ,</v>
      </c>
      <c r="L82" s="1" t="str">
        <f t="shared" si="22"/>
        <v>,</v>
      </c>
      <c r="M82" s="1" t="str">
        <f t="shared" si="23"/>
        <v>,@</v>
      </c>
      <c r="N82" s="1" t="str">
        <f t="shared" si="24"/>
        <v xml:space="preserve"> = @, </v>
      </c>
      <c r="O82" s="1" t="str">
        <f t="shared" si="25"/>
        <v>error += ExcelUtil.CheckValue(excelVo. , "", false, (null, null, ), (true, false, false), (false, false));</v>
      </c>
      <c r="P82" s="1" t="str">
        <f t="shared" si="26"/>
        <v>excelVo. = StringUtil.IsNotEmpty(ExcelUtil.GetCell(sheet, i, j).ToString().TrimEnd())? ExcelUtil.GetCell(sheet, i, j).ToString().TrimEnd().ToUpper():"";j++;//</v>
      </c>
      <c r="Q82" s="1" t="str">
        <f t="shared" si="27"/>
        <v>ExcelUtil.SetContent(sheet, row, column++, (string)item[""]);</v>
      </c>
      <c r="R82" s="1" t="str">
        <f t="shared" si="28"/>
        <v>paramDt.Add("@" ,  );//VARCHAR</v>
      </c>
      <c r="S82" s="1" t="str">
        <f t="shared" si="29"/>
        <v>paramDt.Add("@" , master. );//</v>
      </c>
      <c r="T82" s="1" t="str">
        <f t="shared" si="18"/>
        <v>{ name: '' , sort: '' },</v>
      </c>
      <c r="U82" s="1" t="str">
        <f t="shared" si="30"/>
        <v>"":"",</v>
      </c>
      <c r="V82" s="1" t="str">
        <f t="shared" si="31"/>
        <v>this.vo. = '' ; //</v>
      </c>
    </row>
    <row r="83" spans="1:22" x14ac:dyDescent="0.4">
      <c r="A83" s="1" t="s">
        <v>43</v>
      </c>
      <c r="D83" s="1" t="s">
        <v>5</v>
      </c>
      <c r="I83" s="1" t="str">
        <f t="shared" si="19"/>
        <v xml:space="preserve">///&lt;summary&gt;
///
///&lt;/summary&gt;
public   {get; set;}
</v>
      </c>
      <c r="J83" s="1" t="str">
        <f t="shared" si="20"/>
        <v xml:space="preserve"> AND t1. = @</v>
      </c>
      <c r="K83" s="1" t="str">
        <f t="shared" si="21"/>
        <v>t1.        AS ,</v>
      </c>
      <c r="L83" s="1" t="str">
        <f t="shared" si="22"/>
        <v>,</v>
      </c>
      <c r="M83" s="1" t="str">
        <f t="shared" si="23"/>
        <v>,@</v>
      </c>
      <c r="N83" s="1" t="str">
        <f t="shared" si="24"/>
        <v xml:space="preserve"> = @, </v>
      </c>
      <c r="O83" s="1" t="str">
        <f t="shared" si="25"/>
        <v>error += ExcelUtil.CheckValue(excelVo. , "", false, (null, null, ), (true, false, false), (false, false));</v>
      </c>
      <c r="P83" s="1" t="str">
        <f t="shared" si="26"/>
        <v>excelVo. = StringUtil.IsNotEmpty(ExcelUtil.GetCell(sheet, i, j).ToString().TrimEnd())? ExcelUtil.GetCell(sheet, i, j).ToString().TrimEnd().ToUpper():"";j++;//</v>
      </c>
      <c r="Q83" s="1" t="str">
        <f t="shared" si="27"/>
        <v>ExcelUtil.SetContent(sheet, row, column++, (string)item[""]);</v>
      </c>
      <c r="R83" s="1" t="str">
        <f t="shared" si="28"/>
        <v>paramDt.Add("@" ,  );//VARCHAR</v>
      </c>
      <c r="S83" s="1" t="str">
        <f t="shared" si="29"/>
        <v>paramDt.Add("@" , master. );//</v>
      </c>
      <c r="T83" s="1" t="str">
        <f t="shared" si="18"/>
        <v>{ name: '' , sort: '' },</v>
      </c>
      <c r="U83" s="1" t="str">
        <f t="shared" si="30"/>
        <v>"":"",</v>
      </c>
      <c r="V83" s="1" t="str">
        <f t="shared" si="31"/>
        <v>this.vo. = '' ; //</v>
      </c>
    </row>
    <row r="84" spans="1:22" x14ac:dyDescent="0.4">
      <c r="A84" s="1" t="s">
        <v>43</v>
      </c>
      <c r="D84" s="1" t="s">
        <v>5</v>
      </c>
      <c r="I84" s="1" t="str">
        <f t="shared" si="19"/>
        <v xml:space="preserve">///&lt;summary&gt;
///
///&lt;/summary&gt;
public   {get; set;}
</v>
      </c>
      <c r="J84" s="1" t="str">
        <f t="shared" si="20"/>
        <v xml:space="preserve"> AND t1. = @</v>
      </c>
      <c r="K84" s="1" t="str">
        <f t="shared" si="21"/>
        <v>t1.        AS ,</v>
      </c>
      <c r="L84" s="1" t="str">
        <f t="shared" si="22"/>
        <v>,</v>
      </c>
      <c r="M84" s="1" t="str">
        <f t="shared" si="23"/>
        <v>,@</v>
      </c>
      <c r="N84" s="1" t="str">
        <f t="shared" si="24"/>
        <v xml:space="preserve"> = @, </v>
      </c>
      <c r="O84" s="1" t="str">
        <f t="shared" si="25"/>
        <v>error += ExcelUtil.CheckValue(excelVo. , "", false, (null, null, ), (true, false, false), (false, false));</v>
      </c>
      <c r="P84" s="1" t="str">
        <f t="shared" si="26"/>
        <v>excelVo. = StringUtil.IsNotEmpty(ExcelUtil.GetCell(sheet, i, j).ToString().TrimEnd())? ExcelUtil.GetCell(sheet, i, j).ToString().TrimEnd().ToUpper():"";j++;//</v>
      </c>
      <c r="Q84" s="1" t="str">
        <f t="shared" si="27"/>
        <v>ExcelUtil.SetContent(sheet, row, column++, (string)item[""]);</v>
      </c>
      <c r="R84" s="1" t="str">
        <f t="shared" si="28"/>
        <v>paramDt.Add("@" ,  );//VARCHAR</v>
      </c>
      <c r="S84" s="1" t="str">
        <f t="shared" si="29"/>
        <v>paramDt.Add("@" , master. );//</v>
      </c>
      <c r="T84" s="1" t="str">
        <f t="shared" si="18"/>
        <v>{ name: '' , sort: '' },</v>
      </c>
      <c r="U84" s="1" t="str">
        <f t="shared" si="30"/>
        <v>"":"",</v>
      </c>
      <c r="V84" s="1" t="str">
        <f t="shared" si="31"/>
        <v>this.vo. = '' ; //</v>
      </c>
    </row>
    <row r="85" spans="1:22" x14ac:dyDescent="0.4">
      <c r="A85" s="1" t="s">
        <v>43</v>
      </c>
      <c r="D85" s="1" t="s">
        <v>5</v>
      </c>
      <c r="I85" s="1" t="str">
        <f t="shared" si="19"/>
        <v xml:space="preserve">///&lt;summary&gt;
///
///&lt;/summary&gt;
public   {get; set;}
</v>
      </c>
      <c r="J85" s="1" t="str">
        <f t="shared" si="20"/>
        <v xml:space="preserve"> AND t1. = @</v>
      </c>
      <c r="K85" s="1" t="str">
        <f t="shared" si="21"/>
        <v>t1.        AS ,</v>
      </c>
      <c r="L85" s="1" t="str">
        <f t="shared" si="22"/>
        <v>,</v>
      </c>
      <c r="M85" s="1" t="str">
        <f t="shared" si="23"/>
        <v>,@</v>
      </c>
      <c r="N85" s="1" t="str">
        <f t="shared" si="24"/>
        <v xml:space="preserve"> = @, </v>
      </c>
      <c r="O85" s="1" t="str">
        <f t="shared" si="25"/>
        <v>error += ExcelUtil.CheckValue(excelVo. , "", false, (null, null, ), (true, false, false), (false, false));</v>
      </c>
      <c r="P85" s="1" t="str">
        <f t="shared" si="26"/>
        <v>excelVo. = StringUtil.IsNotEmpty(ExcelUtil.GetCell(sheet, i, j).ToString().TrimEnd())? ExcelUtil.GetCell(sheet, i, j).ToString().TrimEnd().ToUpper():"";j++;//</v>
      </c>
      <c r="Q85" s="1" t="str">
        <f t="shared" si="27"/>
        <v>ExcelUtil.SetContent(sheet, row, column++, (string)item[""]);</v>
      </c>
      <c r="R85" s="1" t="str">
        <f t="shared" si="28"/>
        <v>paramDt.Add("@" ,  );//VARCHAR</v>
      </c>
      <c r="S85" s="1" t="str">
        <f t="shared" si="29"/>
        <v>paramDt.Add("@" , master. );//</v>
      </c>
      <c r="T85" s="1" t="str">
        <f t="shared" si="18"/>
        <v>{ name: '' , sort: '' },</v>
      </c>
      <c r="U85" s="1" t="str">
        <f t="shared" si="30"/>
        <v>"":"",</v>
      </c>
      <c r="V85" s="1" t="str">
        <f t="shared" si="31"/>
        <v>this.vo. = '' ; //</v>
      </c>
    </row>
    <row r="86" spans="1:22" x14ac:dyDescent="0.4">
      <c r="A86" s="1" t="s">
        <v>43</v>
      </c>
      <c r="D86" s="1" t="s">
        <v>5</v>
      </c>
      <c r="I86" s="1" t="str">
        <f t="shared" si="19"/>
        <v xml:space="preserve">///&lt;summary&gt;
///
///&lt;/summary&gt;
public   {get; set;}
</v>
      </c>
      <c r="J86" s="1" t="str">
        <f t="shared" si="20"/>
        <v xml:space="preserve"> AND t1. = @</v>
      </c>
      <c r="K86" s="1" t="str">
        <f t="shared" si="21"/>
        <v>t1.        AS ,</v>
      </c>
      <c r="L86" s="1" t="str">
        <f t="shared" si="22"/>
        <v>,</v>
      </c>
      <c r="M86" s="1" t="str">
        <f t="shared" si="23"/>
        <v>,@</v>
      </c>
      <c r="N86" s="1" t="str">
        <f t="shared" si="24"/>
        <v xml:space="preserve"> = @, </v>
      </c>
      <c r="O86" s="1" t="str">
        <f t="shared" si="25"/>
        <v>error += ExcelUtil.CheckValue(excelVo. , "", false, (null, null, ), (true, false, false), (false, false));</v>
      </c>
      <c r="P86" s="1" t="str">
        <f t="shared" si="26"/>
        <v>excelVo. = StringUtil.IsNotEmpty(ExcelUtil.GetCell(sheet, i, j).ToString().TrimEnd())? ExcelUtil.GetCell(sheet, i, j).ToString().TrimEnd().ToUpper():"";j++;//</v>
      </c>
      <c r="Q86" s="1" t="str">
        <f t="shared" si="27"/>
        <v>ExcelUtil.SetContent(sheet, row, column++, (string)item[""]);</v>
      </c>
      <c r="R86" s="1" t="str">
        <f t="shared" si="28"/>
        <v>paramDt.Add("@" ,  );//VARCHAR</v>
      </c>
      <c r="S86" s="1" t="str">
        <f t="shared" si="29"/>
        <v>paramDt.Add("@" , master. );//</v>
      </c>
      <c r="T86" s="1" t="str">
        <f t="shared" si="18"/>
        <v>{ name: '' , sort: '' },</v>
      </c>
      <c r="U86" s="1" t="str">
        <f t="shared" si="30"/>
        <v>"":"",</v>
      </c>
      <c r="V86" s="1" t="str">
        <f t="shared" si="31"/>
        <v>this.vo. = '' ; //</v>
      </c>
    </row>
    <row r="87" spans="1:22" x14ac:dyDescent="0.4">
      <c r="A87" s="1" t="s">
        <v>43</v>
      </c>
      <c r="D87" s="1" t="s">
        <v>5</v>
      </c>
      <c r="I87" s="1" t="str">
        <f t="shared" si="19"/>
        <v xml:space="preserve">///&lt;summary&gt;
///
///&lt;/summary&gt;
public   {get; set;}
</v>
      </c>
      <c r="J87" s="1" t="str">
        <f t="shared" si="20"/>
        <v xml:space="preserve"> AND t1. = @</v>
      </c>
      <c r="K87" s="1" t="str">
        <f t="shared" si="21"/>
        <v>t1.        AS ,</v>
      </c>
      <c r="L87" s="1" t="str">
        <f t="shared" si="22"/>
        <v>,</v>
      </c>
      <c r="M87" s="1" t="str">
        <f t="shared" si="23"/>
        <v>,@</v>
      </c>
      <c r="N87" s="1" t="str">
        <f t="shared" si="24"/>
        <v xml:space="preserve"> = @, </v>
      </c>
      <c r="O87" s="1" t="str">
        <f t="shared" si="25"/>
        <v>error += ExcelUtil.CheckValue(excelVo. , "", false, (null, null, ), (true, false, false), (false, false));</v>
      </c>
      <c r="P87" s="1" t="str">
        <f t="shared" si="26"/>
        <v>excelVo. = StringUtil.IsNotEmpty(ExcelUtil.GetCell(sheet, i, j).ToString().TrimEnd())? ExcelUtil.GetCell(sheet, i, j).ToString().TrimEnd().ToUpper():"";j++;//</v>
      </c>
      <c r="Q87" s="1" t="str">
        <f t="shared" si="27"/>
        <v>ExcelUtil.SetContent(sheet, row, column++, (string)item[""]);</v>
      </c>
      <c r="R87" s="1" t="str">
        <f t="shared" si="28"/>
        <v>paramDt.Add("@" ,  );//VARCHAR</v>
      </c>
      <c r="S87" s="1" t="str">
        <f t="shared" si="29"/>
        <v>paramDt.Add("@" , master. );//</v>
      </c>
      <c r="T87" s="1" t="str">
        <f t="shared" si="18"/>
        <v>{ name: '' , sort: '' },</v>
      </c>
      <c r="U87" s="1" t="str">
        <f t="shared" si="30"/>
        <v>"":"",</v>
      </c>
      <c r="V87" s="1" t="str">
        <f t="shared" si="31"/>
        <v>this.vo. = '' ; //</v>
      </c>
    </row>
    <row r="88" spans="1:22" x14ac:dyDescent="0.4">
      <c r="A88" s="1" t="s">
        <v>43</v>
      </c>
      <c r="D88" s="1" t="s">
        <v>5</v>
      </c>
      <c r="I88" s="1" t="str">
        <f t="shared" si="19"/>
        <v xml:space="preserve">///&lt;summary&gt;
///
///&lt;/summary&gt;
public   {get; set;}
</v>
      </c>
      <c r="J88" s="1" t="str">
        <f t="shared" si="20"/>
        <v xml:space="preserve"> AND t1. = @</v>
      </c>
      <c r="K88" s="1" t="str">
        <f t="shared" si="21"/>
        <v>t1.        AS ,</v>
      </c>
      <c r="L88" s="1" t="str">
        <f t="shared" si="22"/>
        <v>,</v>
      </c>
      <c r="M88" s="1" t="str">
        <f t="shared" si="23"/>
        <v>,@</v>
      </c>
      <c r="N88" s="1" t="str">
        <f t="shared" si="24"/>
        <v xml:space="preserve"> = @, </v>
      </c>
      <c r="O88" s="1" t="str">
        <f t="shared" si="25"/>
        <v>error += ExcelUtil.CheckValue(excelVo. , "", false, (null, null, ), (true, false, false), (false, false));</v>
      </c>
      <c r="P88" s="1" t="str">
        <f t="shared" si="26"/>
        <v>excelVo. = StringUtil.IsNotEmpty(ExcelUtil.GetCell(sheet, i, j).ToString().TrimEnd())? ExcelUtil.GetCell(sheet, i, j).ToString().TrimEnd().ToUpper():"";j++;//</v>
      </c>
      <c r="Q88" s="1" t="str">
        <f t="shared" si="27"/>
        <v>ExcelUtil.SetContent(sheet, row, column++, (string)item[""]);</v>
      </c>
      <c r="R88" s="1" t="str">
        <f t="shared" si="28"/>
        <v>paramDt.Add("@" ,  );//VARCHAR</v>
      </c>
      <c r="S88" s="1" t="str">
        <f t="shared" si="29"/>
        <v>paramDt.Add("@" , master. );//</v>
      </c>
      <c r="T88" s="1" t="str">
        <f t="shared" si="18"/>
        <v>{ name: '' , sort: '' },</v>
      </c>
      <c r="U88" s="1" t="str">
        <f t="shared" si="30"/>
        <v>"":"",</v>
      </c>
      <c r="V88" s="1" t="str">
        <f t="shared" si="31"/>
        <v>this.vo. = '' ; //</v>
      </c>
    </row>
    <row r="89" spans="1:22" x14ac:dyDescent="0.4">
      <c r="D89" s="1" t="s">
        <v>6</v>
      </c>
    </row>
    <row r="90" spans="1:22" x14ac:dyDescent="0.4">
      <c r="D90" s="1" t="s">
        <v>5</v>
      </c>
    </row>
    <row r="91" spans="1:22" x14ac:dyDescent="0.4">
      <c r="D91" s="1" t="s">
        <v>6</v>
      </c>
    </row>
    <row r="92" spans="1:22" x14ac:dyDescent="0.4">
      <c r="D92" s="1" t="s">
        <v>5</v>
      </c>
    </row>
    <row r="93" spans="1:22" x14ac:dyDescent="0.4">
      <c r="D93" s="1" t="s">
        <v>5</v>
      </c>
    </row>
    <row r="94" spans="1:22" x14ac:dyDescent="0.4">
      <c r="D94" s="1" t="s">
        <v>5</v>
      </c>
    </row>
    <row r="95" spans="1:22" x14ac:dyDescent="0.4">
      <c r="D95" s="1" t="s">
        <v>5</v>
      </c>
    </row>
    <row r="96" spans="1:22" x14ac:dyDescent="0.4">
      <c r="D96" s="1" t="s">
        <v>5</v>
      </c>
    </row>
    <row r="97" spans="4:4" x14ac:dyDescent="0.4">
      <c r="D97" s="1" t="s">
        <v>9</v>
      </c>
    </row>
    <row r="98" spans="4:4" x14ac:dyDescent="0.4">
      <c r="D98" s="1" t="s">
        <v>5</v>
      </c>
    </row>
    <row r="99" spans="4:4" x14ac:dyDescent="0.4">
      <c r="D99" s="1" t="s">
        <v>9</v>
      </c>
    </row>
    <row r="100" spans="4:4" x14ac:dyDescent="0.4">
      <c r="D100" s="1" t="s">
        <v>5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8E46-23C1-4AB1-84DE-A04C5144EBDC}">
  <dimension ref="A1:AF100"/>
  <sheetViews>
    <sheetView topLeftCell="F1" zoomScaleNormal="100" workbookViewId="0">
      <selection activeCell="Q5" sqref="Q5:Q22"/>
    </sheetView>
  </sheetViews>
  <sheetFormatPr defaultColWidth="11.453125" defaultRowHeight="13.5" x14ac:dyDescent="0.4"/>
  <cols>
    <col min="1" max="1" width="13.453125" style="1" customWidth="1"/>
    <col min="2" max="2" width="11.453125" style="1"/>
    <col min="3" max="3" width="18.90625" style="1" customWidth="1"/>
    <col min="4" max="4" width="11.453125" style="1"/>
    <col min="5" max="5" width="9" style="1" customWidth="1"/>
    <col min="6" max="8" width="11.453125" style="1"/>
    <col min="9" max="9" width="21.08984375" style="1" customWidth="1"/>
    <col min="10" max="13" width="11.453125" style="1"/>
    <col min="14" max="15" width="9.36328125" style="1" customWidth="1"/>
    <col min="16" max="16" width="37" style="1" customWidth="1"/>
    <col min="17" max="17" width="11.453125" style="1"/>
    <col min="18" max="18" width="28" style="1" customWidth="1"/>
    <col min="19" max="19" width="30.54296875" style="1" customWidth="1"/>
    <col min="20" max="20" width="35.08984375" style="1" customWidth="1"/>
    <col min="21" max="16384" width="11.453125" style="1"/>
  </cols>
  <sheetData>
    <row r="1" spans="1:32" x14ac:dyDescent="0.4">
      <c r="G1" s="1" t="s">
        <v>18</v>
      </c>
    </row>
    <row r="2" spans="1:32" x14ac:dyDescent="0.4">
      <c r="G2" s="1" t="s">
        <v>17</v>
      </c>
      <c r="H2" s="1" t="e">
        <f>" AND t1."&amp;B5&amp;" = "&amp;"@"&amp;B5&amp;CHAR(10)&amp;" AND t1."&amp;B6&amp;" = "&amp;"@"&amp;B6&amp;CHAR(10)&amp;" AND t1."&amp;B7&amp;" = "&amp;"@"&amp;B7&amp;CHAR(10)&amp;" AND t1."&amp;B8&amp;" = "&amp;"@"&amp;B8&amp;CHAR(10)&amp;" AND t1."&amp;B9&amp;" = "&amp;"@"&amp;B9&amp;CHAR(10)&amp;" AND t1."&amp;B10&amp;" = "&amp;"@"&amp;B10&amp;CHAR(10)&amp;" AND t1."&amp;B11&amp;" = "&amp;"@"&amp;B11&amp;CHAR(10)&amp;
" AND t1."&amp;B12&amp;" = "&amp;"@"&amp;B12&amp;CHAR(10)&amp;" AND t1."&amp;B13&amp;" = "&amp;"@"&amp;B13&amp;CHAR(10)&amp;" AND t1."&amp;B14&amp;" = "&amp;"@"&amp;B14&amp;CHAR(10)&amp;" AND t1."&amp;B15&amp;" = "&amp;"@"&amp;B15&amp;CHAR(10)&amp;" AND t1."&amp;B16&amp;" = "&amp;"@"&amp;B16&amp;CHAR(10)&amp;
" AND t1."&amp;B17&amp;" = "&amp;"@"&amp;B17&amp;CHAR(10)&amp;" AND t1."&amp;B18&amp;" = "&amp;"@"&amp;B18&amp;CHAR(10)&amp;" AND t1."&amp;B19&amp;" = "&amp;"@"&amp;B19&amp;CHAR(10)&amp;" AND t1."&amp;B20&amp;" = "&amp;"@"&amp;B20&amp;CHAR(10)&amp;" AND t1."&amp;B21&amp;" = "&amp;"@"&amp;B21&amp;CHAR(10)&amp;
" AND t1."&amp;B22&amp;" = "&amp;"@"&amp;B22&amp;CHAR(10)&amp;" AND t1."&amp;B23&amp;" = "&amp;"@"&amp;B23&amp;CHAR(10)&amp;" AND t1."&amp;B24&amp;" = "&amp;"@"&amp;B24&amp;CHAR(10)&amp;"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t1."&amp;B25&amp;" = "&amp;"@"&amp;B25&amp;CHAR(10)&amp;" AND t1."&amp;B26&amp;" = "&amp;"@"&amp;B26&amp;CHAR(10)&amp;" AND t1."&amp;B27&amp;" = "&amp;"@"&amp;B27&amp;CHAR(10)&amp;
" AND t1."&amp;B28&amp;" = "&amp;"@"&amp;B28&amp;CHAR(10)&amp;" AND t1."&amp;B29&amp;" = "&amp;"@"&amp;B29&amp;CHAR(10)&amp;" AND t1."&amp;B30&amp;" = "&amp;"@"&amp;B30&amp;CHAR(10)&amp;" AND t1."&amp;B31&amp;" = "&amp;"@"&amp;B31&amp;CHAR(10)&amp;" AND t1."&amp;B32&amp;" = "&amp;"@"&amp;B32&amp;CHAR(10)&amp;
" AND t1."&amp;B33&amp;" = "&amp;"@"&amp;B33&amp;CHAR(10)&amp;" AND t1."&amp;B34&amp;" = "&amp;"@"&amp;B34&amp;CHAR(10)&amp;" AND t1."&amp;B35&amp;" = "&amp;"@"&amp;B35&amp;CHAR(10)&amp;" AND t1."&amp;B36&amp;" = "&amp;"@"&amp;B36&amp;CHAR(10)&amp;" AND t1."&amp;B37&amp;" = "&amp;"@"&amp;B37&amp;CHAR(10)&amp;
" AND t1."&amp;B38&amp;" = "&amp;"@"&amp;B38&amp;CHAR(10)&amp;" AND t1."&amp;B39&amp;" = "&amp;"@"&amp;B39&amp;CHAR(10)&amp;" AND t1."&amp;B40&amp;" = "&amp;"@"&amp;B40&amp;CHAR(10)&amp;" AND t1."&amp;B41&amp;" = "&amp;"@"&amp;B41&amp;CHAR(10)&amp;" AND t1."&amp;B42&amp;" = "&amp;"@"&amp;B42&amp;CHAR(10)&amp;
" AND t1."&amp;B43&amp;" = "&amp;"@"&amp;B43&amp;CHAR(10)&amp;" AND t1."&amp;B44&amp;" = "&amp;"@"&amp;B44&amp;CHAR(10)&amp;" AND t1."&amp;B45&amp;" = "&amp;"@"&amp;B45&amp;CHAR(10)&amp;" AND t1."&amp;B46&amp;" = "&amp;"@"&amp;B46&amp;CHAR(10)&amp;" AND t1."&amp;B47&amp;" = "&amp;"@"&amp;B47&amp;CHAR(10)&amp;
" AND t1."&amp;B48&amp;" = "&amp;"@"&amp;B48&amp;CHAR(10)&amp;" AND t1."&amp;B49&amp;" = "&amp;"@"&amp;B49&amp;CHAR(10)&amp;" AND t1."&amp;B50&amp;" = "&amp;"@"&amp;B50&amp;CHAR(10)&amp;" AND t1."&amp;B51&amp;" = "&amp;"@"&amp;B51&amp;CHAR(10)&amp;" AND t1."&amp;B52&amp;" = "&amp;"@"&amp;B52&amp;CHAR(10)</f>
        <v>#REF!</v>
      </c>
    </row>
    <row r="4" spans="1:32" x14ac:dyDescent="0.4">
      <c r="A4" s="2"/>
      <c r="B4" s="2"/>
      <c r="C4" s="2"/>
      <c r="D4" s="2"/>
      <c r="E4" s="2"/>
      <c r="F4" s="2" t="s">
        <v>15</v>
      </c>
      <c r="G4" s="2" t="s">
        <v>23</v>
      </c>
      <c r="H4" s="2" t="s">
        <v>13</v>
      </c>
      <c r="I4" s="2" t="s">
        <v>14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28</v>
      </c>
      <c r="P4" s="2" t="s">
        <v>27</v>
      </c>
      <c r="Q4" s="2" t="s">
        <v>29</v>
      </c>
      <c r="R4" s="2" t="s">
        <v>16</v>
      </c>
      <c r="S4" s="2" t="s">
        <v>22</v>
      </c>
      <c r="T4" s="3" t="s">
        <v>24</v>
      </c>
      <c r="U4" s="3" t="s">
        <v>25</v>
      </c>
      <c r="V4" s="3" t="s">
        <v>26</v>
      </c>
      <c r="W4" s="3"/>
      <c r="X4" s="3"/>
      <c r="Y4" s="3"/>
      <c r="Z4" s="3"/>
      <c r="AA4" s="3"/>
      <c r="AB4" s="2"/>
      <c r="AC4" s="2"/>
      <c r="AD4" s="2"/>
      <c r="AE4" s="2"/>
      <c r="AF4" s="2"/>
    </row>
    <row r="5" spans="1:32" ht="14.5" x14ac:dyDescent="0.4">
      <c r="A5" s="1" t="s">
        <v>63</v>
      </c>
      <c r="B5" s="1" t="s">
        <v>32</v>
      </c>
      <c r="C5" s="1" t="s">
        <v>38</v>
      </c>
      <c r="D5" s="1" t="s">
        <v>5</v>
      </c>
      <c r="E5" s="4">
        <v>1</v>
      </c>
      <c r="F5" s="1" t="str">
        <f>IF(G5&lt;&gt;"",LOWER(LEFT(G5,1))&amp;RIGHT(G5,LEN(G5)-1),"")</f>
        <v>plantCd</v>
      </c>
      <c r="G5" s="1" t="str">
        <f t="shared" ref="G5:G29" si="0">SUBSTITUTE(PROPER(SUBSTITUTE(LOWER(B5),"_"," "))," ","")</f>
        <v>PlantCd</v>
      </c>
      <c r="H5" s="1" t="str">
        <f t="shared" ref="H5:H10" si="1">IF(D5="VARCHAR","string",IF(D5="DECIMAL","decimal?",IF(D5="DATETIME","DateTime?",IF(D5="INT","int","string"))))</f>
        <v>string</v>
      </c>
      <c r="I5" s="1" t="str">
        <f>"///&lt;summary&gt;"&amp;CHAR(10)&amp;"///"&amp;TRIM(C5)&amp;CHAR(10)&amp;"///&lt;/summary&gt;"&amp;CHAR(10)&amp;"public "&amp;H5&amp;" " &amp;TRIM(G5)&amp;" {get; set;}"&amp;CHAR(10)</f>
        <v xml:space="preserve">///&lt;summary&gt;
///工廠區分
///&lt;/summary&gt;
public string PlantCd {get; set;}
</v>
      </c>
      <c r="J5" s="1" t="str">
        <f t="shared" ref="J5:J68" si="2">" AND t1."&amp;B5&amp;" = "&amp;"@"&amp;B5</f>
        <v xml:space="preserve"> AND t1.PLANT_CD = @PLANT_CD</v>
      </c>
      <c r="K5" s="1" t="str">
        <f t="shared" ref="K5:K68" si="3">"t1."&amp;B5&amp;"        "&amp;"AS "&amp;G5&amp;","</f>
        <v>t1.PLANT_CD        AS PlantCd,</v>
      </c>
      <c r="L5" s="1" t="str">
        <f t="shared" ref="L5:L68" si="4">","&amp; B5</f>
        <v>,PLANT_CD</v>
      </c>
      <c r="M5" s="1" t="str">
        <f t="shared" ref="M5:M68" si="5">",@"&amp;B5</f>
        <v>,@PLANT_CD</v>
      </c>
      <c r="N5" s="1" t="str">
        <f t="shared" ref="N5:N68" si="6">B5&amp;" = "&amp;"@"&amp;B5&amp;", "</f>
        <v xml:space="preserve">PLANT_CD = @PLANT_CD, </v>
      </c>
      <c r="O5" s="1" t="str">
        <f>"error += ExcelUtil.CheckValue("&amp; IF(LOWER(D5)="decimal","excelVo."&amp;G5&amp;".ToString() ","excelVo."&amp;G5)  &amp;" , "&amp; """" &amp; TRIM(C5)&amp;""""&amp;", false, (null, null, "&amp;E5&amp;"), ("&amp;IF(LOWER(D5)="decimal","false","true")&amp;", false, "&amp;IF(LOWER(D5)="decimal","true","false")&amp;"), (false, false));"</f>
        <v>error += ExcelUtil.CheckValue(excelVo.PlantCd , "工廠區分", false, (null, null, 1), (true, false, false), (false, false));</v>
      </c>
      <c r="P5" s="1" t="str">
        <f>"excelVo."&amp; G5&amp; " = StringUtil.IsNotEmpty(ExcelUtil.GetCell(sheet, i, j).ToString().TrimEnd())? ExcelUtil.GetCell(sheet, i, j).ToString().TrimEnd().ToUpper():"&amp; """" &amp; """" &amp;";j++;" &amp;"//"&amp;C5</f>
        <v>excelVo.PlantCd = StringUtil.IsNotEmpty(ExcelUtil.GetCell(sheet, i, j).ToString().TrimEnd())? ExcelUtil.GetCell(sheet, i, j).ToString().TrimEnd().ToUpper():"";j++;//工廠區分</v>
      </c>
      <c r="Q5" s="1" t="str">
        <f>"ExcelUtil.SetContent(sheet, row, column++, (string)item["&amp;""""&amp;F5 &amp;""""&amp;"]);"</f>
        <v>ExcelUtil.SetContent(sheet, row, column++, (string)item["plantCd"]);</v>
      </c>
      <c r="R5" s="1" t="str">
        <f>"paramDt.Add("&amp; """" &amp;"@"&amp; B5&amp; """" &amp;" , "&amp; G5 &amp;" );//"&amp;D5</f>
        <v>paramDt.Add("@PLANT_CD" , PlantCd );//VARCHAR</v>
      </c>
      <c r="S5" s="1" t="str">
        <f>"paramDt.Add("&amp; """" &amp;"@"&amp; B5&amp; """" &amp;" , master."&amp; G5 &amp;" );//"&amp;C5</f>
        <v>paramDt.Add("@PLANT_CD" , master.PlantCd );//工廠區分</v>
      </c>
      <c r="T5" s="1" t="str">
        <f>"{ name: '"&amp;F5&amp;"' , sort: '"&amp;B5&amp;"' },"</f>
        <v>{ name: 'plantCd' , sort: 'PLANT_CD' },</v>
      </c>
      <c r="U5" s="1" t="str">
        <f>""""&amp;F5&amp;""""&amp;":"&amp;""""&amp;TRIM(C5)&amp;""""&amp;","</f>
        <v>"plantCd":"工廠區分",</v>
      </c>
      <c r="V5" s="1" t="str">
        <f>IF(LOWER(D5)="decimal","this.vo."&amp;F5&amp;" = "&amp;0,"this.vo."&amp;F5&amp;" = ''")&amp;" ; //"&amp;TRIM(C5)</f>
        <v>this.vo.plantCd = '' ; //工廠區分</v>
      </c>
    </row>
    <row r="6" spans="1:32" ht="14.5" x14ac:dyDescent="0.4">
      <c r="A6" s="1" t="s">
        <v>63</v>
      </c>
      <c r="B6" s="1" t="s">
        <v>87</v>
      </c>
      <c r="C6" s="1" t="s">
        <v>76</v>
      </c>
      <c r="D6" s="1" t="s">
        <v>5</v>
      </c>
      <c r="E6" s="5">
        <v>8</v>
      </c>
      <c r="F6" s="1" t="str">
        <f t="shared" ref="F6:F29" si="7">IF(G6&lt;&gt;"",LOWER(LEFT(G6,1))&amp;RIGHT(G6,LEN(G6)-1),"")</f>
        <v>wkDt</v>
      </c>
      <c r="G6" s="1" t="str">
        <f t="shared" si="0"/>
        <v>WkDt</v>
      </c>
      <c r="H6" s="1" t="str">
        <f t="shared" si="1"/>
        <v>string</v>
      </c>
      <c r="I6" s="1" t="str">
        <f t="shared" ref="I6:I58" si="8">"///&lt;summary&gt;"&amp;CHAR(10)&amp;"///"&amp;TRIM(C6)&amp;CHAR(10)&amp;"///&lt;/summary&gt;"&amp;CHAR(10)&amp;"public "&amp;H6&amp;" " &amp;TRIM(G6)&amp;" {get; set;}"&amp;CHAR(10)</f>
        <v xml:space="preserve">///&lt;summary&gt;
///日期
///&lt;/summary&gt;
public string WkDt {get; set;}
</v>
      </c>
      <c r="J6" s="1" t="str">
        <f t="shared" si="2"/>
        <v xml:space="preserve"> AND t1.WK_DT = @WK_DT</v>
      </c>
      <c r="K6" s="1" t="str">
        <f t="shared" si="3"/>
        <v>t1.WK_DT        AS WkDt,</v>
      </c>
      <c r="L6" s="1" t="str">
        <f t="shared" si="4"/>
        <v>,WK_DT</v>
      </c>
      <c r="M6" s="1" t="str">
        <f t="shared" si="5"/>
        <v>,@WK_DT</v>
      </c>
      <c r="N6" s="1" t="str">
        <f t="shared" si="6"/>
        <v xml:space="preserve">WK_DT = @WK_DT, </v>
      </c>
      <c r="O6" s="1" t="str">
        <f t="shared" ref="O6:O69" si="9">"error += ExcelUtil.CheckValue("&amp; IF(LOWER(D6)="decimal","excelVo."&amp;G6&amp;".ToString() ","excelVo."&amp;G6)  &amp;" , "&amp; """" &amp; TRIM(C6)&amp;""""&amp;", false, (null, null, "&amp;E6&amp;"), ("&amp;IF(LOWER(D6)="decimal","false","true")&amp;", false, "&amp;IF(LOWER(D6)="decimal","true","false")&amp;"), (false, false));"</f>
        <v>error += ExcelUtil.CheckValue(excelVo.WkDt , "日期", false, (null, null, 8), (true, false, false), (false, false));</v>
      </c>
      <c r="P6" s="1" t="str">
        <f t="shared" ref="P6:P69" si="10">"excelVo."&amp; G6&amp; " = StringUtil.IsNotEmpty(ExcelUtil.GetCell(sheet, i, j).ToString().TrimEnd())? ExcelUtil.GetCell(sheet, i, j).ToString().TrimEnd().ToUpper():"&amp; """" &amp; """" &amp;";j++;" &amp;"//"&amp;C6</f>
        <v>excelVo.WkDt = StringUtil.IsNotEmpty(ExcelUtil.GetCell(sheet, i, j).ToString().TrimEnd())? ExcelUtil.GetCell(sheet, i, j).ToString().TrimEnd().ToUpper():"";j++;//日期</v>
      </c>
      <c r="Q6" s="1" t="str">
        <f t="shared" ref="Q6:Q69" si="11">"ExcelUtil.SetContent(sheet, row, column++, (string)item["&amp;""""&amp;F6 &amp;""""&amp;"]);"</f>
        <v>ExcelUtil.SetContent(sheet, row, column++, (string)item["wkDt"]);</v>
      </c>
      <c r="R6" s="1" t="str">
        <f t="shared" ref="R6:R69" si="12">"paramDt.Add("&amp; """" &amp;"@"&amp; B6&amp; """" &amp;" , "&amp; G6 &amp;" );//"&amp;D6</f>
        <v>paramDt.Add("@WK_DT" , WkDt );//VARCHAR</v>
      </c>
      <c r="S6" s="1" t="str">
        <f t="shared" ref="S6:S69" si="13">"paramDt.Add("&amp; """" &amp;"@"&amp; B6&amp; """" &amp;" , master."&amp; G6 &amp;" );//"&amp;C6</f>
        <v>paramDt.Add("@WK_DT" , master.WkDt );//日期</v>
      </c>
      <c r="T6" s="1" t="str">
        <f t="shared" ref="T6:T29" si="14">"{ name: '"&amp;F6&amp;"' , sort: '"&amp;B6&amp;"' },"</f>
        <v>{ name: 'wkDt' , sort: 'WK_DT' },</v>
      </c>
      <c r="U6" s="1" t="str">
        <f t="shared" ref="U6:U69" si="15">""""&amp;F6&amp;""""&amp;":"&amp;""""&amp;TRIM(C6)&amp;""""&amp;","</f>
        <v>"wkDt":"日期",</v>
      </c>
      <c r="V6" s="1" t="str">
        <f t="shared" ref="V6:V69" si="16">IF(LOWER(D6)="decimal","this.vo."&amp;F6&amp;" = "&amp;0,"this.vo."&amp;F6&amp;" = ''")&amp;" ; //"&amp;TRIM(C6)</f>
        <v>this.vo.wkDt = '' ; //日期</v>
      </c>
    </row>
    <row r="7" spans="1:32" ht="14.5" x14ac:dyDescent="0.4">
      <c r="A7" s="1" t="s">
        <v>63</v>
      </c>
      <c r="B7" s="1" t="s">
        <v>64</v>
      </c>
      <c r="C7" s="1" t="s">
        <v>77</v>
      </c>
      <c r="D7" s="1" t="s">
        <v>5</v>
      </c>
      <c r="E7" s="5">
        <v>1</v>
      </c>
      <c r="F7" s="1" t="str">
        <f t="shared" si="7"/>
        <v>shiftCd</v>
      </c>
      <c r="G7" s="1" t="str">
        <f t="shared" si="0"/>
        <v>ShiftCd</v>
      </c>
      <c r="H7" s="1" t="str">
        <f t="shared" si="1"/>
        <v>string</v>
      </c>
      <c r="I7" s="1" t="str">
        <f t="shared" si="8"/>
        <v xml:space="preserve">///&lt;summary&gt;
///直別
///&lt;/summary&gt;
public string ShiftCd {get; set;}
</v>
      </c>
      <c r="J7" s="1" t="str">
        <f t="shared" si="2"/>
        <v xml:space="preserve"> AND t1.SHIFT_CD = @SHIFT_CD</v>
      </c>
      <c r="K7" s="1" t="str">
        <f t="shared" si="3"/>
        <v>t1.SHIFT_CD        AS ShiftCd,</v>
      </c>
      <c r="L7" s="1" t="str">
        <f t="shared" si="4"/>
        <v>,SHIFT_CD</v>
      </c>
      <c r="M7" s="1" t="str">
        <f t="shared" si="5"/>
        <v>,@SHIFT_CD</v>
      </c>
      <c r="N7" s="1" t="str">
        <f t="shared" si="6"/>
        <v xml:space="preserve">SHIFT_CD = @SHIFT_CD, </v>
      </c>
      <c r="O7" s="1" t="str">
        <f t="shared" si="9"/>
        <v>error += ExcelUtil.CheckValue(excelVo.ShiftCd , "直別", false, (null, null, 1), (true, false, false), (false, false));</v>
      </c>
      <c r="P7" s="1" t="str">
        <f t="shared" si="10"/>
        <v>excelVo.ShiftCd = StringUtil.IsNotEmpty(ExcelUtil.GetCell(sheet, i, j).ToString().TrimEnd())? ExcelUtil.GetCell(sheet, i, j).ToString().TrimEnd().ToUpper():"";j++;//直別</v>
      </c>
      <c r="Q7" s="1" t="str">
        <f t="shared" si="11"/>
        <v>ExcelUtil.SetContent(sheet, row, column++, (string)item["shiftCd"]);</v>
      </c>
      <c r="R7" s="1" t="str">
        <f t="shared" si="12"/>
        <v>paramDt.Add("@SHIFT_CD" , ShiftCd );//VARCHAR</v>
      </c>
      <c r="S7" s="1" t="str">
        <f t="shared" si="13"/>
        <v>paramDt.Add("@SHIFT_CD" , master.ShiftCd );//直別</v>
      </c>
      <c r="T7" s="1" t="str">
        <f t="shared" si="14"/>
        <v>{ name: 'shiftCd' , sort: 'SHIFT_CD' },</v>
      </c>
      <c r="U7" s="1" t="str">
        <f t="shared" si="15"/>
        <v>"shiftCd":"直別",</v>
      </c>
      <c r="V7" s="1" t="str">
        <f t="shared" si="16"/>
        <v>this.vo.shiftCd = '' ; //直別</v>
      </c>
    </row>
    <row r="8" spans="1:32" ht="14.5" x14ac:dyDescent="0.4">
      <c r="A8" s="1" t="s">
        <v>63</v>
      </c>
      <c r="B8" s="1" t="s">
        <v>65</v>
      </c>
      <c r="C8" s="1" t="s">
        <v>78</v>
      </c>
      <c r="D8" s="1" t="s">
        <v>105</v>
      </c>
      <c r="E8" s="5"/>
      <c r="F8" s="1" t="str">
        <f t="shared" si="7"/>
        <v>shiftSort</v>
      </c>
      <c r="G8" s="1" t="str">
        <f t="shared" si="0"/>
        <v>ShiftSort</v>
      </c>
      <c r="H8" s="1" t="str">
        <f t="shared" si="1"/>
        <v>decimal?</v>
      </c>
      <c r="I8" s="1" t="str">
        <f t="shared" si="8"/>
        <v xml:space="preserve">///&lt;summary&gt;
///直別開捆順序
///&lt;/summary&gt;
public decimal? ShiftSort {get; set;}
</v>
      </c>
      <c r="J8" s="1" t="str">
        <f t="shared" si="2"/>
        <v xml:space="preserve"> AND t1.SHIFT_SORT = @SHIFT_SORT</v>
      </c>
      <c r="K8" s="1" t="str">
        <f t="shared" si="3"/>
        <v>t1.SHIFT_SORT        AS ShiftSort,</v>
      </c>
      <c r="L8" s="1" t="str">
        <f t="shared" si="4"/>
        <v>,SHIFT_SORT</v>
      </c>
      <c r="M8" s="1" t="str">
        <f t="shared" si="5"/>
        <v>,@SHIFT_SORT</v>
      </c>
      <c r="N8" s="1" t="str">
        <f t="shared" si="6"/>
        <v xml:space="preserve">SHIFT_SORT = @SHIFT_SORT, </v>
      </c>
      <c r="O8" s="1" t="str">
        <f t="shared" si="9"/>
        <v>error += ExcelUtil.CheckValue(excelVo.ShiftSort.ToString()  , "直別開捆順序", false, (null, null, ), (false, false, true), (false, false));</v>
      </c>
      <c r="P8" s="1" t="str">
        <f t="shared" si="10"/>
        <v>excelVo.ShiftSort = StringUtil.IsNotEmpty(ExcelUtil.GetCell(sheet, i, j).ToString().TrimEnd())? ExcelUtil.GetCell(sheet, i, j).ToString().TrimEnd().ToUpper():"";j++;//直別開捆順序</v>
      </c>
      <c r="Q8" s="1" t="str">
        <f t="shared" si="11"/>
        <v>ExcelUtil.SetContent(sheet, row, column++, (string)item["shiftSort"]);</v>
      </c>
      <c r="R8" s="1" t="str">
        <f t="shared" si="12"/>
        <v>paramDt.Add("@SHIFT_SORT" , ShiftSort );//DECIMAL</v>
      </c>
      <c r="S8" s="1" t="str">
        <f t="shared" si="13"/>
        <v>paramDt.Add("@SHIFT_SORT" , master.ShiftSort );//直別開捆順序</v>
      </c>
      <c r="T8" s="1" t="str">
        <f t="shared" si="14"/>
        <v>{ name: 'shiftSort' , sort: 'SHIFT_SORT' },</v>
      </c>
      <c r="U8" s="1" t="str">
        <f t="shared" si="15"/>
        <v>"shiftSort":"直別開捆順序",</v>
      </c>
      <c r="V8" s="1" t="str">
        <f t="shared" si="16"/>
        <v>this.vo.shiftSort = 0 ; //直別開捆順序</v>
      </c>
    </row>
    <row r="9" spans="1:32" ht="14.5" x14ac:dyDescent="0.4">
      <c r="A9" s="1" t="s">
        <v>63</v>
      </c>
      <c r="B9" s="1" t="s">
        <v>66</v>
      </c>
      <c r="C9" s="1" t="s">
        <v>79</v>
      </c>
      <c r="D9" s="1" t="s">
        <v>5</v>
      </c>
      <c r="E9" s="5">
        <v>1</v>
      </c>
      <c r="F9" s="1" t="str">
        <f t="shared" si="7"/>
        <v>unPackUnit</v>
      </c>
      <c r="G9" s="1" t="str">
        <f t="shared" si="0"/>
        <v>UnPackUnit</v>
      </c>
      <c r="H9" s="1" t="str">
        <f t="shared" si="1"/>
        <v>string</v>
      </c>
      <c r="I9" s="1" t="str">
        <f t="shared" si="8"/>
        <v xml:space="preserve">///&lt;summary&gt;
///開捆台
///&lt;/summary&gt;
public string UnPackUnit {get; set;}
</v>
      </c>
      <c r="J9" s="1" t="str">
        <f t="shared" si="2"/>
        <v xml:space="preserve"> AND t1.UN_PACK_UNIT = @UN_PACK_UNIT</v>
      </c>
      <c r="K9" s="1" t="str">
        <f t="shared" si="3"/>
        <v>t1.UN_PACK_UNIT        AS UnPackUnit,</v>
      </c>
      <c r="L9" s="1" t="str">
        <f t="shared" si="4"/>
        <v>,UN_PACK_UNIT</v>
      </c>
      <c r="M9" s="1" t="str">
        <f t="shared" si="5"/>
        <v>,@UN_PACK_UNIT</v>
      </c>
      <c r="N9" s="1" t="str">
        <f t="shared" si="6"/>
        <v xml:space="preserve">UN_PACK_UNIT = @UN_PACK_UNIT, </v>
      </c>
      <c r="O9" s="1" t="str">
        <f t="shared" si="9"/>
        <v>error += ExcelUtil.CheckValue(excelVo.UnPackUnit , "開捆台", false, (null, null, 1), (true, false, false), (false, false));</v>
      </c>
      <c r="P9" s="1" t="str">
        <f t="shared" si="10"/>
        <v>excelVo.UnPackUnit = StringUtil.IsNotEmpty(ExcelUtil.GetCell(sheet, i, j).ToString().TrimEnd())? ExcelUtil.GetCell(sheet, i, j).ToString().TrimEnd().ToUpper():"";j++;//開捆台</v>
      </c>
      <c r="Q9" s="1" t="str">
        <f t="shared" si="11"/>
        <v>ExcelUtil.SetContent(sheet, row, column++, (string)item["unPackUnit"]);</v>
      </c>
      <c r="R9" s="1" t="str">
        <f t="shared" si="12"/>
        <v>paramDt.Add("@UN_PACK_UNIT" , UnPackUnit );//VARCHAR</v>
      </c>
      <c r="S9" s="1" t="str">
        <f t="shared" si="13"/>
        <v>paramDt.Add("@UN_PACK_UNIT" , master.UnPackUnit );//開捆台</v>
      </c>
      <c r="T9" s="1" t="str">
        <f t="shared" si="14"/>
        <v>{ name: 'unPackUnit' , sort: 'UN_PACK_UNIT' },</v>
      </c>
      <c r="U9" s="1" t="str">
        <f t="shared" si="15"/>
        <v>"unPackUnit":"開捆台",</v>
      </c>
      <c r="V9" s="1" t="str">
        <f t="shared" si="16"/>
        <v>this.vo.unPackUnit = '' ; //開捆台</v>
      </c>
    </row>
    <row r="10" spans="1:32" ht="14.5" x14ac:dyDescent="0.4">
      <c r="A10" s="1" t="s">
        <v>63</v>
      </c>
      <c r="B10" s="1" t="s">
        <v>67</v>
      </c>
      <c r="C10" s="1" t="s">
        <v>80</v>
      </c>
      <c r="D10" s="1" t="s">
        <v>105</v>
      </c>
      <c r="E10" s="5">
        <v>4</v>
      </c>
      <c r="F10" s="1" t="str">
        <f t="shared" si="7"/>
        <v>unPackSort</v>
      </c>
      <c r="G10" s="1" t="str">
        <f t="shared" si="0"/>
        <v>UnPackSort</v>
      </c>
      <c r="H10" s="1" t="str">
        <f t="shared" si="1"/>
        <v>decimal?</v>
      </c>
      <c r="I10" s="1" t="str">
        <f t="shared" si="8"/>
        <v xml:space="preserve">///&lt;summary&gt;
///開捆順序
///&lt;/summary&gt;
public decimal? UnPackSort {get; set;}
</v>
      </c>
      <c r="J10" s="1" t="str">
        <f t="shared" si="2"/>
        <v xml:space="preserve"> AND t1.UN_PACK_SORT = @UN_PACK_SORT</v>
      </c>
      <c r="K10" s="1" t="str">
        <f t="shared" si="3"/>
        <v>t1.UN_PACK_SORT        AS UnPackSort,</v>
      </c>
      <c r="L10" s="1" t="str">
        <f t="shared" si="4"/>
        <v>,UN_PACK_SORT</v>
      </c>
      <c r="M10" s="1" t="str">
        <f t="shared" si="5"/>
        <v>,@UN_PACK_SORT</v>
      </c>
      <c r="N10" s="1" t="str">
        <f t="shared" si="6"/>
        <v xml:space="preserve">UN_PACK_SORT = @UN_PACK_SORT, </v>
      </c>
      <c r="O10" s="1" t="str">
        <f t="shared" si="9"/>
        <v>error += ExcelUtil.CheckValue(excelVo.UnPackSort.ToString()  , "開捆順序", false, (null, null, 4), (false, false, true), (false, false));</v>
      </c>
      <c r="P10" s="1" t="str">
        <f t="shared" si="10"/>
        <v>excelVo.UnPackSort = StringUtil.IsNotEmpty(ExcelUtil.GetCell(sheet, i, j).ToString().TrimEnd())? ExcelUtil.GetCell(sheet, i, j).ToString().TrimEnd().ToUpper():"";j++;//開捆順序</v>
      </c>
      <c r="Q10" s="1" t="str">
        <f t="shared" si="11"/>
        <v>ExcelUtil.SetContent(sheet, row, column++, (string)item["unPackSort"]);</v>
      </c>
      <c r="R10" s="1" t="str">
        <f t="shared" si="12"/>
        <v>paramDt.Add("@UN_PACK_SORT" , UnPackSort );//DECIMAL</v>
      </c>
      <c r="S10" s="1" t="str">
        <f t="shared" si="13"/>
        <v>paramDt.Add("@UN_PACK_SORT" , master.UnPackSort );//開捆順序</v>
      </c>
      <c r="T10" s="1" t="str">
        <f t="shared" si="14"/>
        <v>{ name: 'unPackSort' , sort: 'UN_PACK_SORT' },</v>
      </c>
      <c r="U10" s="1" t="str">
        <f t="shared" si="15"/>
        <v>"unPackSort":"開捆順序",</v>
      </c>
      <c r="V10" s="1" t="str">
        <f t="shared" si="16"/>
        <v>this.vo.unPackSort = 0 ; //開捆順序</v>
      </c>
    </row>
    <row r="11" spans="1:32" ht="14.5" x14ac:dyDescent="0.4">
      <c r="A11" s="1" t="s">
        <v>63</v>
      </c>
      <c r="B11" s="1" t="s">
        <v>68</v>
      </c>
      <c r="C11" s="1" t="s">
        <v>68</v>
      </c>
      <c r="D11" s="1" t="s">
        <v>30</v>
      </c>
      <c r="E11" s="5">
        <v>6</v>
      </c>
      <c r="F11" s="1" t="str">
        <f t="shared" si="7"/>
        <v>modNo</v>
      </c>
      <c r="G11" s="1" t="str">
        <f t="shared" si="0"/>
        <v>ModNo</v>
      </c>
      <c r="H11" s="1" t="str">
        <f>IF(D11="VARCHAR","string",IF(D11="DECIMAL","decimal?",IF(D11="DATETIME","DateTime?",IF(D11="INT","int","string"))))</f>
        <v>string</v>
      </c>
      <c r="I11" s="1" t="str">
        <f t="shared" si="8"/>
        <v xml:space="preserve">///&lt;summary&gt;
///MOD_NO
///&lt;/summary&gt;
public string ModNo {get; set;}
</v>
      </c>
      <c r="J11" s="1" t="str">
        <f t="shared" si="2"/>
        <v xml:space="preserve"> AND t1.MOD_NO = @MOD_NO</v>
      </c>
      <c r="K11" s="1" t="str">
        <f t="shared" si="3"/>
        <v>t1.MOD_NO        AS ModNo,</v>
      </c>
      <c r="L11" s="1" t="str">
        <f t="shared" si="4"/>
        <v>,MOD_NO</v>
      </c>
      <c r="M11" s="1" t="str">
        <f t="shared" si="5"/>
        <v>,@MOD_NO</v>
      </c>
      <c r="N11" s="1" t="str">
        <f t="shared" si="6"/>
        <v xml:space="preserve">MOD_NO = @MOD_NO, </v>
      </c>
      <c r="O11" s="1" t="str">
        <f t="shared" si="9"/>
        <v>error += ExcelUtil.CheckValue(excelVo.ModNo , "MOD_NO", false, (null, null, 6), (true, false, false), (false, false));</v>
      </c>
      <c r="P11" s="1" t="str">
        <f t="shared" si="10"/>
        <v>excelVo.ModNo = StringUtil.IsNotEmpty(ExcelUtil.GetCell(sheet, i, j).ToString().TrimEnd())? ExcelUtil.GetCell(sheet, i, j).ToString().TrimEnd().ToUpper():"";j++;//MOD_NO</v>
      </c>
      <c r="Q11" s="1" t="str">
        <f t="shared" si="11"/>
        <v>ExcelUtil.SetContent(sheet, row, column++, (string)item["modNo"]);</v>
      </c>
      <c r="R11" s="1" t="str">
        <f t="shared" si="12"/>
        <v>paramDt.Add("@MOD_NO" , ModNo );//NVARCHAR</v>
      </c>
      <c r="S11" s="1" t="str">
        <f t="shared" si="13"/>
        <v>paramDt.Add("@MOD_NO" , master.ModNo );//MOD_NO</v>
      </c>
      <c r="T11" s="1" t="str">
        <f t="shared" si="14"/>
        <v>{ name: 'modNo' , sort: 'MOD_NO' },</v>
      </c>
      <c r="U11" s="1" t="str">
        <f t="shared" si="15"/>
        <v>"modNo":"MOD_NO",</v>
      </c>
      <c r="V11" s="1" t="str">
        <f t="shared" si="16"/>
        <v>this.vo.modNo = '' ; //MOD_NO</v>
      </c>
    </row>
    <row r="12" spans="1:32" ht="14.5" x14ac:dyDescent="0.4">
      <c r="A12" s="1" t="s">
        <v>63</v>
      </c>
      <c r="B12" s="1" t="s">
        <v>35</v>
      </c>
      <c r="C12" s="1" t="s">
        <v>35</v>
      </c>
      <c r="D12" s="1" t="s">
        <v>5</v>
      </c>
      <c r="E12" s="5">
        <v>1</v>
      </c>
      <c r="F12" s="1" t="str">
        <f t="shared" si="7"/>
        <v>modType</v>
      </c>
      <c r="G12" s="1" t="str">
        <f t="shared" si="0"/>
        <v>ModType</v>
      </c>
      <c r="H12" s="1" t="str">
        <f t="shared" ref="H12:H58" si="17">IF(D12="VARCHAR","string",IF(D12="DECIMAL","decimal?",IF(D12="DATETIME","DateTime?",IF(D12="INT","int","string"))))</f>
        <v>string</v>
      </c>
      <c r="I12" s="1" t="str">
        <f t="shared" si="8"/>
        <v xml:space="preserve">///&lt;summary&gt;
///MOD_TYPE
///&lt;/summary&gt;
public string ModType {get; set;}
</v>
      </c>
      <c r="J12" s="1" t="str">
        <f t="shared" si="2"/>
        <v xml:space="preserve"> AND t1.MOD_TYPE = @MOD_TYPE</v>
      </c>
      <c r="K12" s="1" t="str">
        <f t="shared" si="3"/>
        <v>t1.MOD_TYPE        AS ModType,</v>
      </c>
      <c r="L12" s="1" t="str">
        <f t="shared" si="4"/>
        <v>,MOD_TYPE</v>
      </c>
      <c r="M12" s="1" t="str">
        <f t="shared" si="5"/>
        <v>,@MOD_TYPE</v>
      </c>
      <c r="N12" s="1" t="str">
        <f t="shared" si="6"/>
        <v xml:space="preserve">MOD_TYPE = @MOD_TYPE, </v>
      </c>
      <c r="O12" s="1" t="str">
        <f t="shared" si="9"/>
        <v>error += ExcelUtil.CheckValue(excelVo.ModType , "MOD_TYPE", false, (null, null, 1), (true, false, false), (false, false));</v>
      </c>
      <c r="P12" s="1" t="str">
        <f t="shared" si="10"/>
        <v>excelVo.ModType = StringUtil.IsNotEmpty(ExcelUtil.GetCell(sheet, i, j).ToString().TrimEnd())? ExcelUtil.GetCell(sheet, i, j).ToString().TrimEnd().ToUpper():"";j++;//MOD_TYPE</v>
      </c>
      <c r="Q12" s="1" t="str">
        <f t="shared" si="11"/>
        <v>ExcelUtil.SetContent(sheet, row, column++, (string)item["modType"]);</v>
      </c>
      <c r="R12" s="1" t="str">
        <f t="shared" si="12"/>
        <v>paramDt.Add("@MOD_TYPE" , ModType );//VARCHAR</v>
      </c>
      <c r="S12" s="1" t="str">
        <f t="shared" si="13"/>
        <v>paramDt.Add("@MOD_TYPE" , master.ModType );//MOD_TYPE</v>
      </c>
      <c r="T12" s="1" t="str">
        <f t="shared" si="14"/>
        <v>{ name: 'modType' , sort: 'MOD_TYPE' },</v>
      </c>
      <c r="U12" s="1" t="str">
        <f t="shared" si="15"/>
        <v>"modType":"MOD_TYPE",</v>
      </c>
      <c r="V12" s="1" t="str">
        <f t="shared" si="16"/>
        <v>this.vo.modType = '' ; //MOD_TYPE</v>
      </c>
    </row>
    <row r="13" spans="1:32" ht="14.5" x14ac:dyDescent="0.4">
      <c r="A13" s="1" t="s">
        <v>63</v>
      </c>
      <c r="B13" s="1" t="s">
        <v>33</v>
      </c>
      <c r="C13" s="1" t="s">
        <v>39</v>
      </c>
      <c r="D13" s="1" t="s">
        <v>30</v>
      </c>
      <c r="E13" s="5">
        <v>4</v>
      </c>
      <c r="F13" s="1" t="str">
        <f t="shared" si="7"/>
        <v>countryCd</v>
      </c>
      <c r="G13" s="1" t="str">
        <f t="shared" si="0"/>
        <v>CountryCd</v>
      </c>
      <c r="H13" s="1" t="str">
        <f t="shared" si="17"/>
        <v>string</v>
      </c>
      <c r="I13" s="1" t="str">
        <f t="shared" si="8"/>
        <v xml:space="preserve">///&lt;summary&gt;
///國別
///&lt;/summary&gt;
public string CountryCd {get; set;}
</v>
      </c>
      <c r="J13" s="1" t="str">
        <f t="shared" si="2"/>
        <v xml:space="preserve"> AND t1.COUNTRY_CD = @COUNTRY_CD</v>
      </c>
      <c r="K13" s="1" t="str">
        <f t="shared" si="3"/>
        <v>t1.COUNTRY_CD        AS CountryCd,</v>
      </c>
      <c r="L13" s="1" t="str">
        <f t="shared" si="4"/>
        <v>,COUNTRY_CD</v>
      </c>
      <c r="M13" s="1" t="str">
        <f t="shared" si="5"/>
        <v>,@COUNTRY_CD</v>
      </c>
      <c r="N13" s="1" t="str">
        <f t="shared" si="6"/>
        <v xml:space="preserve">COUNTRY_CD = @COUNTRY_CD, </v>
      </c>
      <c r="O13" s="1" t="str">
        <f t="shared" si="9"/>
        <v>error += ExcelUtil.CheckValue(excelVo.CountryCd , "國別", false, (null, null, 4), (true, false, false), (false, false));</v>
      </c>
      <c r="P13" s="1" t="str">
        <f t="shared" si="10"/>
        <v>excelVo.CountryCd = StringUtil.IsNotEmpty(ExcelUtil.GetCell(sheet, i, j).ToString().TrimEnd())? ExcelUtil.GetCell(sheet, i, j).ToString().TrimEnd().ToUpper():"";j++;//國別</v>
      </c>
      <c r="Q13" s="1" t="str">
        <f t="shared" si="11"/>
        <v>ExcelUtil.SetContent(sheet, row, column++, (string)item["countryCd"]);</v>
      </c>
      <c r="R13" s="1" t="str">
        <f t="shared" si="12"/>
        <v>paramDt.Add("@COUNTRY_CD" , CountryCd );//NVARCHAR</v>
      </c>
      <c r="S13" s="1" t="str">
        <f t="shared" si="13"/>
        <v>paramDt.Add("@COUNTRY_CD" , master.CountryCd );//國別</v>
      </c>
      <c r="T13" s="1" t="str">
        <f t="shared" si="14"/>
        <v>{ name: 'countryCd' , sort: 'COUNTRY_CD' },</v>
      </c>
      <c r="U13" s="1" t="str">
        <f t="shared" si="15"/>
        <v>"countryCd":"國別",</v>
      </c>
      <c r="V13" s="1" t="str">
        <f t="shared" si="16"/>
        <v>this.vo.countryCd = '' ; //國別</v>
      </c>
    </row>
    <row r="14" spans="1:32" ht="14.5" x14ac:dyDescent="0.4">
      <c r="A14" s="1" t="s">
        <v>63</v>
      </c>
      <c r="B14" s="1" t="s">
        <v>31</v>
      </c>
      <c r="C14" s="1" t="s">
        <v>37</v>
      </c>
      <c r="D14" s="1" t="s">
        <v>30</v>
      </c>
      <c r="E14" s="5">
        <v>4</v>
      </c>
      <c r="F14" s="1" t="str">
        <f t="shared" si="7"/>
        <v>carCd</v>
      </c>
      <c r="G14" s="1" t="str">
        <f t="shared" si="0"/>
        <v>CarCd</v>
      </c>
      <c r="H14" s="1" t="str">
        <f t="shared" si="17"/>
        <v>string</v>
      </c>
      <c r="I14" s="1" t="str">
        <f t="shared" si="8"/>
        <v xml:space="preserve">///&lt;summary&gt;
///車種
///&lt;/summary&gt;
public string CarCd {get; set;}
</v>
      </c>
      <c r="J14" s="1" t="str">
        <f t="shared" si="2"/>
        <v xml:space="preserve"> AND t1.CAR_CD = @CAR_CD</v>
      </c>
      <c r="K14" s="1" t="str">
        <f t="shared" si="3"/>
        <v>t1.CAR_CD        AS CarCd,</v>
      </c>
      <c r="L14" s="1" t="str">
        <f t="shared" si="4"/>
        <v>,CAR_CD</v>
      </c>
      <c r="M14" s="1" t="str">
        <f t="shared" si="5"/>
        <v>,@CAR_CD</v>
      </c>
      <c r="N14" s="1" t="str">
        <f t="shared" si="6"/>
        <v xml:space="preserve">CAR_CD = @CAR_CD, </v>
      </c>
      <c r="O14" s="1" t="str">
        <f t="shared" si="9"/>
        <v>error += ExcelUtil.CheckValue(excelVo.CarCd , "車種", false, (null, null, 4), (true, false, false), (false, false));</v>
      </c>
      <c r="P14" s="1" t="str">
        <f t="shared" si="10"/>
        <v>excelVo.CarCd = StringUtil.IsNotEmpty(ExcelUtil.GetCell(sheet, i, j).ToString().TrimEnd())? ExcelUtil.GetCell(sheet, i, j).ToString().TrimEnd().ToUpper():"";j++;//車種</v>
      </c>
      <c r="Q14" s="1" t="str">
        <f t="shared" si="11"/>
        <v>ExcelUtil.SetContent(sheet, row, column++, (string)item["carCd"]);</v>
      </c>
      <c r="R14" s="1" t="str">
        <f t="shared" si="12"/>
        <v>paramDt.Add("@CAR_CD" , CarCd );//NVARCHAR</v>
      </c>
      <c r="S14" s="1" t="str">
        <f t="shared" si="13"/>
        <v>paramDt.Add("@CAR_CD" , master.CarCd );//車種</v>
      </c>
      <c r="T14" s="1" t="str">
        <f t="shared" si="14"/>
        <v>{ name: 'carCd' , sort: 'CAR_CD' },</v>
      </c>
      <c r="U14" s="1" t="str">
        <f t="shared" si="15"/>
        <v>"carCd":"車種",</v>
      </c>
      <c r="V14" s="1" t="str">
        <f t="shared" si="16"/>
        <v>this.vo.carCd = '' ; //車種</v>
      </c>
    </row>
    <row r="15" spans="1:32" ht="14.5" x14ac:dyDescent="0.4">
      <c r="A15" s="1" t="s">
        <v>63</v>
      </c>
      <c r="B15" s="1" t="s">
        <v>69</v>
      </c>
      <c r="C15" s="1" t="s">
        <v>81</v>
      </c>
      <c r="D15" s="1" t="s">
        <v>105</v>
      </c>
      <c r="E15" s="5"/>
      <c r="F15" s="1" t="str">
        <f t="shared" si="7"/>
        <v>planVolume</v>
      </c>
      <c r="G15" s="1" t="str">
        <f t="shared" si="0"/>
        <v>PlanVolume</v>
      </c>
      <c r="H15" s="1" t="str">
        <f t="shared" si="17"/>
        <v>decimal?</v>
      </c>
      <c r="I15" s="1" t="str">
        <f t="shared" si="8"/>
        <v xml:space="preserve">///&lt;summary&gt;
///計畫開捆台數
///&lt;/summary&gt;
public decimal? PlanVolume {get; set;}
</v>
      </c>
      <c r="J15" s="1" t="str">
        <f t="shared" si="2"/>
        <v xml:space="preserve"> AND t1.PLAN_VOLUME = @PLAN_VOLUME</v>
      </c>
      <c r="K15" s="1" t="str">
        <f t="shared" si="3"/>
        <v>t1.PLAN_VOLUME        AS PlanVolume,</v>
      </c>
      <c r="L15" s="1" t="str">
        <f t="shared" si="4"/>
        <v>,PLAN_VOLUME</v>
      </c>
      <c r="M15" s="1" t="str">
        <f t="shared" si="5"/>
        <v>,@PLAN_VOLUME</v>
      </c>
      <c r="N15" s="1" t="str">
        <f t="shared" si="6"/>
        <v xml:space="preserve">PLAN_VOLUME = @PLAN_VOLUME, </v>
      </c>
      <c r="O15" s="1" t="str">
        <f t="shared" si="9"/>
        <v>error += ExcelUtil.CheckValue(excelVo.PlanVolume.ToString()  , "計畫開捆台數", false, (null, null, ), (false, false, true), (false, false));</v>
      </c>
      <c r="P15" s="1" t="str">
        <f t="shared" si="10"/>
        <v>excelVo.PlanVolume = StringUtil.IsNotEmpty(ExcelUtil.GetCell(sheet, i, j).ToString().TrimEnd())? ExcelUtil.GetCell(sheet, i, j).ToString().TrimEnd().ToUpper():"";j++;//計畫開捆台數</v>
      </c>
      <c r="Q15" s="1" t="str">
        <f t="shared" si="11"/>
        <v>ExcelUtil.SetContent(sheet, row, column++, (string)item["planVolume"]);</v>
      </c>
      <c r="R15" s="1" t="str">
        <f t="shared" si="12"/>
        <v>paramDt.Add("@PLAN_VOLUME" , PlanVolume );//DECIMAL</v>
      </c>
      <c r="S15" s="1" t="str">
        <f t="shared" si="13"/>
        <v>paramDt.Add("@PLAN_VOLUME" , master.PlanVolume );//計畫開捆台數</v>
      </c>
      <c r="T15" s="1" t="str">
        <f t="shared" si="14"/>
        <v>{ name: 'planVolume' , sort: 'PLAN_VOLUME' },</v>
      </c>
      <c r="U15" s="1" t="str">
        <f t="shared" si="15"/>
        <v>"planVolume":"計畫開捆台數",</v>
      </c>
      <c r="V15" s="1" t="str">
        <f t="shared" si="16"/>
        <v>this.vo.planVolume = 0 ; //計畫開捆台數</v>
      </c>
    </row>
    <row r="16" spans="1:32" ht="14.5" x14ac:dyDescent="0.4">
      <c r="A16" s="1" t="s">
        <v>63</v>
      </c>
      <c r="B16" s="1" t="s">
        <v>70</v>
      </c>
      <c r="C16" s="1" t="s">
        <v>82</v>
      </c>
      <c r="D16" s="1" t="s">
        <v>105</v>
      </c>
      <c r="E16" s="5"/>
      <c r="F16" s="1" t="str">
        <f t="shared" si="7"/>
        <v>realVolume</v>
      </c>
      <c r="G16" s="1" t="str">
        <f t="shared" si="0"/>
        <v>RealVolume</v>
      </c>
      <c r="H16" s="1" t="str">
        <f t="shared" si="17"/>
        <v>decimal?</v>
      </c>
      <c r="I16" s="1" t="str">
        <f t="shared" si="8"/>
        <v xml:space="preserve">///&lt;summary&gt;
///實際開捆台數
///&lt;/summary&gt;
public decimal? RealVolume {get; set;}
</v>
      </c>
      <c r="J16" s="1" t="str">
        <f t="shared" si="2"/>
        <v xml:space="preserve"> AND t1.REAL_VOLUME = @REAL_VOLUME</v>
      </c>
      <c r="K16" s="1" t="str">
        <f t="shared" si="3"/>
        <v>t1.REAL_VOLUME        AS RealVolume,</v>
      </c>
      <c r="L16" s="1" t="str">
        <f t="shared" si="4"/>
        <v>,REAL_VOLUME</v>
      </c>
      <c r="M16" s="1" t="str">
        <f t="shared" si="5"/>
        <v>,@REAL_VOLUME</v>
      </c>
      <c r="N16" s="1" t="str">
        <f t="shared" si="6"/>
        <v xml:space="preserve">REAL_VOLUME = @REAL_VOLUME, </v>
      </c>
      <c r="O16" s="1" t="str">
        <f t="shared" si="9"/>
        <v>error += ExcelUtil.CheckValue(excelVo.RealVolume.ToString()  , "實際開捆台數", false, (null, null, ), (false, false, true), (false, false));</v>
      </c>
      <c r="P16" s="1" t="str">
        <f t="shared" si="10"/>
        <v>excelVo.RealVolume = StringUtil.IsNotEmpty(ExcelUtil.GetCell(sheet, i, j).ToString().TrimEnd())? ExcelUtil.GetCell(sheet, i, j).ToString().TrimEnd().ToUpper():"";j++;//實際開捆台數</v>
      </c>
      <c r="Q16" s="1" t="str">
        <f t="shared" si="11"/>
        <v>ExcelUtil.SetContent(sheet, row, column++, (string)item["realVolume"]);</v>
      </c>
      <c r="R16" s="1" t="str">
        <f t="shared" si="12"/>
        <v>paramDt.Add("@REAL_VOLUME" , RealVolume );//DECIMAL</v>
      </c>
      <c r="S16" s="1" t="str">
        <f t="shared" si="13"/>
        <v>paramDt.Add("@REAL_VOLUME" , master.RealVolume );//實際開捆台數</v>
      </c>
      <c r="T16" s="1" t="str">
        <f t="shared" si="14"/>
        <v>{ name: 'realVolume' , sort: 'REAL_VOLUME' },</v>
      </c>
      <c r="U16" s="1" t="str">
        <f t="shared" si="15"/>
        <v>"realVolume":"實際開捆台數",</v>
      </c>
      <c r="V16" s="1" t="str">
        <f t="shared" si="16"/>
        <v>this.vo.realVolume = 0 ; //實際開捆台數</v>
      </c>
    </row>
    <row r="17" spans="1:22" ht="14.5" x14ac:dyDescent="0.4">
      <c r="A17" s="1" t="s">
        <v>63</v>
      </c>
      <c r="B17" s="1" t="s">
        <v>71</v>
      </c>
      <c r="C17" s="1" t="s">
        <v>40</v>
      </c>
      <c r="D17" s="1" t="s">
        <v>105</v>
      </c>
      <c r="E17" s="5"/>
      <c r="F17" s="1" t="str">
        <f t="shared" si="7"/>
        <v>planTimes</v>
      </c>
      <c r="G17" s="1" t="str">
        <f t="shared" si="0"/>
        <v>PlanTimes</v>
      </c>
      <c r="H17" s="1" t="str">
        <f t="shared" si="17"/>
        <v>decimal?</v>
      </c>
      <c r="I17" s="1" t="str">
        <f t="shared" si="8"/>
        <v xml:space="preserve">///&lt;summary&gt;
///計畫作業時間
///&lt;/summary&gt;
public decimal? PlanTimes {get; set;}
</v>
      </c>
      <c r="J17" s="1" t="str">
        <f t="shared" si="2"/>
        <v xml:space="preserve"> AND t1.PLAN_TIMES = @PLAN_TIMES</v>
      </c>
      <c r="K17" s="1" t="str">
        <f t="shared" si="3"/>
        <v>t1.PLAN_TIMES        AS PlanTimes,</v>
      </c>
      <c r="L17" s="1" t="str">
        <f t="shared" si="4"/>
        <v>,PLAN_TIMES</v>
      </c>
      <c r="M17" s="1" t="str">
        <f t="shared" si="5"/>
        <v>,@PLAN_TIMES</v>
      </c>
      <c r="N17" s="1" t="str">
        <f t="shared" si="6"/>
        <v xml:space="preserve">PLAN_TIMES = @PLAN_TIMES, </v>
      </c>
      <c r="O17" s="1" t="str">
        <f t="shared" si="9"/>
        <v>error += ExcelUtil.CheckValue(excelVo.PlanTimes.ToString()  , "計畫作業時間", false, (null, null, ), (false, false, true), (false, false));</v>
      </c>
      <c r="P17" s="1" t="str">
        <f t="shared" si="10"/>
        <v>excelVo.PlanTimes = StringUtil.IsNotEmpty(ExcelUtil.GetCell(sheet, i, j).ToString().TrimEnd())? ExcelUtil.GetCell(sheet, i, j).ToString().TrimEnd().ToUpper():"";j++;//計畫作業時間</v>
      </c>
      <c r="Q17" s="1" t="str">
        <f t="shared" si="11"/>
        <v>ExcelUtil.SetContent(sheet, row, column++, (string)item["planTimes"]);</v>
      </c>
      <c r="R17" s="1" t="str">
        <f t="shared" si="12"/>
        <v>paramDt.Add("@PLAN_TIMES" , PlanTimes );//DECIMAL</v>
      </c>
      <c r="S17" s="1" t="str">
        <f t="shared" si="13"/>
        <v>paramDt.Add("@PLAN_TIMES" , master.PlanTimes );//計畫作業時間</v>
      </c>
      <c r="T17" s="1" t="str">
        <f t="shared" si="14"/>
        <v>{ name: 'planTimes' , sort: 'PLAN_TIMES' },</v>
      </c>
      <c r="U17" s="1" t="str">
        <f t="shared" si="15"/>
        <v>"planTimes":"計畫作業時間",</v>
      </c>
      <c r="V17" s="1" t="str">
        <f t="shared" si="16"/>
        <v>this.vo.planTimes = 0 ; //計畫作業時間</v>
      </c>
    </row>
    <row r="18" spans="1:22" ht="14.5" x14ac:dyDescent="0.4">
      <c r="A18" s="1" t="s">
        <v>63</v>
      </c>
      <c r="B18" s="1" t="s">
        <v>72</v>
      </c>
      <c r="C18" s="1" t="s">
        <v>83</v>
      </c>
      <c r="D18" s="1" t="s">
        <v>5</v>
      </c>
      <c r="E18" s="5">
        <v>4</v>
      </c>
      <c r="F18" s="1" t="str">
        <f t="shared" si="7"/>
        <v>startTm</v>
      </c>
      <c r="G18" s="1" t="str">
        <f t="shared" si="0"/>
        <v>StartTm</v>
      </c>
      <c r="H18" s="1" t="str">
        <f t="shared" si="17"/>
        <v>string</v>
      </c>
      <c r="I18" s="1" t="str">
        <f t="shared" si="8"/>
        <v xml:space="preserve">///&lt;summary&gt;
///開始開捆時間
///&lt;/summary&gt;
public string StartTm {get; set;}
</v>
      </c>
      <c r="J18" s="1" t="str">
        <f t="shared" si="2"/>
        <v xml:space="preserve"> AND t1.START_TM = @START_TM</v>
      </c>
      <c r="K18" s="1" t="str">
        <f t="shared" si="3"/>
        <v>t1.START_TM        AS StartTm,</v>
      </c>
      <c r="L18" s="1" t="str">
        <f t="shared" si="4"/>
        <v>,START_TM</v>
      </c>
      <c r="M18" s="1" t="str">
        <f t="shared" si="5"/>
        <v>,@START_TM</v>
      </c>
      <c r="N18" s="1" t="str">
        <f t="shared" si="6"/>
        <v xml:space="preserve">START_TM = @START_TM, </v>
      </c>
      <c r="O18" s="1" t="str">
        <f t="shared" si="9"/>
        <v>error += ExcelUtil.CheckValue(excelVo.StartTm , "開始開捆時間", false, (null, null, 4), (true, false, false), (false, false));</v>
      </c>
      <c r="P18" s="1" t="str">
        <f t="shared" si="10"/>
        <v>excelVo.StartTm = StringUtil.IsNotEmpty(ExcelUtil.GetCell(sheet, i, j).ToString().TrimEnd())? ExcelUtil.GetCell(sheet, i, j).ToString().TrimEnd().ToUpper():"";j++;//開始開捆時間</v>
      </c>
      <c r="Q18" s="1" t="str">
        <f t="shared" si="11"/>
        <v>ExcelUtil.SetContent(sheet, row, column++, (string)item["startTm"]);</v>
      </c>
      <c r="R18" s="1" t="str">
        <f t="shared" si="12"/>
        <v>paramDt.Add("@START_TM" , StartTm );//VARCHAR</v>
      </c>
      <c r="S18" s="1" t="str">
        <f t="shared" si="13"/>
        <v>paramDt.Add("@START_TM" , master.StartTm );//開始開捆時間</v>
      </c>
      <c r="T18" s="1" t="str">
        <f t="shared" si="14"/>
        <v>{ name: 'startTm' , sort: 'START_TM' },</v>
      </c>
      <c r="U18" s="1" t="str">
        <f t="shared" si="15"/>
        <v>"startTm":"開始開捆時間",</v>
      </c>
      <c r="V18" s="1" t="str">
        <f t="shared" si="16"/>
        <v>this.vo.startTm = '' ; //開始開捆時間</v>
      </c>
    </row>
    <row r="19" spans="1:22" ht="14.5" x14ac:dyDescent="0.4">
      <c r="A19" s="1" t="s">
        <v>63</v>
      </c>
      <c r="B19" s="1" t="s">
        <v>73</v>
      </c>
      <c r="C19" s="1" t="s">
        <v>84</v>
      </c>
      <c r="D19" s="1" t="s">
        <v>5</v>
      </c>
      <c r="E19" s="5">
        <v>4</v>
      </c>
      <c r="F19" s="1" t="str">
        <f t="shared" si="7"/>
        <v>endTm</v>
      </c>
      <c r="G19" s="1" t="str">
        <f t="shared" si="0"/>
        <v>EndTm</v>
      </c>
      <c r="H19" s="1" t="str">
        <f t="shared" si="17"/>
        <v>string</v>
      </c>
      <c r="I19" s="1" t="str">
        <f t="shared" si="8"/>
        <v xml:space="preserve">///&lt;summary&gt;
///結束開捆時間
///&lt;/summary&gt;
public string EndTm {get; set;}
</v>
      </c>
      <c r="J19" s="1" t="str">
        <f t="shared" si="2"/>
        <v xml:space="preserve"> AND t1.END_TM = @END_TM</v>
      </c>
      <c r="K19" s="1" t="str">
        <f t="shared" si="3"/>
        <v>t1.END_TM        AS EndTm,</v>
      </c>
      <c r="L19" s="1" t="str">
        <f t="shared" si="4"/>
        <v>,END_TM</v>
      </c>
      <c r="M19" s="1" t="str">
        <f t="shared" si="5"/>
        <v>,@END_TM</v>
      </c>
      <c r="N19" s="1" t="str">
        <f t="shared" si="6"/>
        <v xml:space="preserve">END_TM = @END_TM, </v>
      </c>
      <c r="O19" s="1" t="str">
        <f t="shared" si="9"/>
        <v>error += ExcelUtil.CheckValue(excelVo.EndTm , "結束開捆時間", false, (null, null, 4), (true, false, false), (false, false));</v>
      </c>
      <c r="P19" s="1" t="str">
        <f t="shared" si="10"/>
        <v>excelVo.EndTm = StringUtil.IsNotEmpty(ExcelUtil.GetCell(sheet, i, j).ToString().TrimEnd())? ExcelUtil.GetCell(sheet, i, j).ToString().TrimEnd().ToUpper():"";j++;//結束開捆時間</v>
      </c>
      <c r="Q19" s="1" t="str">
        <f t="shared" si="11"/>
        <v>ExcelUtil.SetContent(sheet, row, column++, (string)item["endTm"]);</v>
      </c>
      <c r="R19" s="1" t="str">
        <f t="shared" si="12"/>
        <v>paramDt.Add("@END_TM" , EndTm );//VARCHAR</v>
      </c>
      <c r="S19" s="1" t="str">
        <f t="shared" si="13"/>
        <v>paramDt.Add("@END_TM" , master.EndTm );//結束開捆時間</v>
      </c>
      <c r="T19" s="1" t="str">
        <f t="shared" si="14"/>
        <v>{ name: 'endTm' , sort: 'END_TM' },</v>
      </c>
      <c r="U19" s="1" t="str">
        <f t="shared" si="15"/>
        <v>"endTm":"結束開捆時間",</v>
      </c>
      <c r="V19" s="1" t="str">
        <f t="shared" si="16"/>
        <v>this.vo.endTm = '' ; //結束開捆時間</v>
      </c>
    </row>
    <row r="20" spans="1:22" ht="14.5" x14ac:dyDescent="0.4">
      <c r="A20" s="1" t="s">
        <v>63</v>
      </c>
      <c r="B20" s="1" t="s">
        <v>74</v>
      </c>
      <c r="C20" s="1" t="s">
        <v>85</v>
      </c>
      <c r="D20" s="1" t="s">
        <v>105</v>
      </c>
      <c r="E20" s="5"/>
      <c r="F20" s="1" t="str">
        <f t="shared" si="7"/>
        <v>realTimes</v>
      </c>
      <c r="G20" s="1" t="str">
        <f t="shared" si="0"/>
        <v>RealTimes</v>
      </c>
      <c r="H20" s="1" t="str">
        <f t="shared" si="17"/>
        <v>decimal?</v>
      </c>
      <c r="I20" s="1" t="str">
        <f t="shared" si="8"/>
        <v xml:space="preserve">///&lt;summary&gt;
///實際作業時間
///&lt;/summary&gt;
public decimal? RealTimes {get; set;}
</v>
      </c>
      <c r="J20" s="1" t="str">
        <f t="shared" si="2"/>
        <v xml:space="preserve"> AND t1.REAL_TIMES = @REAL_TIMES</v>
      </c>
      <c r="K20" s="1" t="str">
        <f t="shared" si="3"/>
        <v>t1.REAL_TIMES        AS RealTimes,</v>
      </c>
      <c r="L20" s="1" t="str">
        <f t="shared" si="4"/>
        <v>,REAL_TIMES</v>
      </c>
      <c r="M20" s="1" t="str">
        <f t="shared" si="5"/>
        <v>,@REAL_TIMES</v>
      </c>
      <c r="N20" s="1" t="str">
        <f t="shared" si="6"/>
        <v xml:space="preserve">REAL_TIMES = @REAL_TIMES, </v>
      </c>
      <c r="O20" s="1" t="str">
        <f t="shared" si="9"/>
        <v>error += ExcelUtil.CheckValue(excelVo.RealTimes.ToString()  , "實際作業時間", false, (null, null, ), (false, false, true), (false, false));</v>
      </c>
      <c r="P20" s="1" t="str">
        <f t="shared" si="10"/>
        <v>excelVo.RealTimes = StringUtil.IsNotEmpty(ExcelUtil.GetCell(sheet, i, j).ToString().TrimEnd())? ExcelUtil.GetCell(sheet, i, j).ToString().TrimEnd().ToUpper():"";j++;//實際作業時間</v>
      </c>
      <c r="Q20" s="1" t="str">
        <f t="shared" si="11"/>
        <v>ExcelUtil.SetContent(sheet, row, column++, (string)item["realTimes"]);</v>
      </c>
      <c r="R20" s="1" t="str">
        <f t="shared" si="12"/>
        <v>paramDt.Add("@REAL_TIMES" , RealTimes );//DECIMAL</v>
      </c>
      <c r="S20" s="1" t="str">
        <f t="shared" si="13"/>
        <v>paramDt.Add("@REAL_TIMES" , master.RealTimes );//實際作業時間</v>
      </c>
      <c r="T20" s="1" t="str">
        <f t="shared" si="14"/>
        <v>{ name: 'realTimes' , sort: 'REAL_TIMES' },</v>
      </c>
      <c r="U20" s="1" t="str">
        <f t="shared" si="15"/>
        <v>"realTimes":"實際作業時間",</v>
      </c>
      <c r="V20" s="1" t="str">
        <f t="shared" si="16"/>
        <v>this.vo.realTimes = 0 ; //實際作業時間</v>
      </c>
    </row>
    <row r="21" spans="1:22" ht="14.5" x14ac:dyDescent="0.4">
      <c r="A21" s="1" t="s">
        <v>63</v>
      </c>
      <c r="B21" s="1" t="s">
        <v>75</v>
      </c>
      <c r="C21" s="1" t="s">
        <v>86</v>
      </c>
      <c r="D21" s="1" t="s">
        <v>5</v>
      </c>
      <c r="E21" s="5">
        <v>1</v>
      </c>
      <c r="F21" s="1" t="str">
        <f t="shared" si="7"/>
        <v>unPackStatus</v>
      </c>
      <c r="G21" s="1" t="str">
        <f t="shared" si="0"/>
        <v>UnPackStatus</v>
      </c>
      <c r="H21" s="1" t="str">
        <f t="shared" si="17"/>
        <v>string</v>
      </c>
      <c r="I21" s="1" t="str">
        <f t="shared" si="8"/>
        <v xml:space="preserve">///&lt;summary&gt;
///開捆狀態
///&lt;/summary&gt;
public string UnPackStatus {get; set;}
</v>
      </c>
      <c r="J21" s="1" t="str">
        <f t="shared" si="2"/>
        <v xml:space="preserve"> AND t1.UN_PACK_STATUS = @UN_PACK_STATUS</v>
      </c>
      <c r="K21" s="1" t="str">
        <f t="shared" si="3"/>
        <v>t1.UN_PACK_STATUS        AS UnPackStatus,</v>
      </c>
      <c r="L21" s="1" t="str">
        <f t="shared" si="4"/>
        <v>,UN_PACK_STATUS</v>
      </c>
      <c r="M21" s="1" t="str">
        <f t="shared" si="5"/>
        <v>,@UN_PACK_STATUS</v>
      </c>
      <c r="N21" s="1" t="str">
        <f t="shared" si="6"/>
        <v xml:space="preserve">UN_PACK_STATUS = @UN_PACK_STATUS, </v>
      </c>
      <c r="O21" s="1" t="str">
        <f t="shared" si="9"/>
        <v>error += ExcelUtil.CheckValue(excelVo.UnPackStatus , "開捆狀態", false, (null, null, 1), (true, false, false), (false, false));</v>
      </c>
      <c r="P21" s="1" t="str">
        <f t="shared" si="10"/>
        <v>excelVo.UnPackStatus = StringUtil.IsNotEmpty(ExcelUtil.GetCell(sheet, i, j).ToString().TrimEnd())? ExcelUtil.GetCell(sheet, i, j).ToString().TrimEnd().ToUpper():"";j++;//開捆狀態</v>
      </c>
      <c r="Q21" s="1" t="str">
        <f t="shared" si="11"/>
        <v>ExcelUtil.SetContent(sheet, row, column++, (string)item["unPackStatus"]);</v>
      </c>
      <c r="R21" s="1" t="str">
        <f t="shared" si="12"/>
        <v>paramDt.Add("@UN_PACK_STATUS" , UnPackStatus );//VARCHAR</v>
      </c>
      <c r="S21" s="1" t="str">
        <f t="shared" si="13"/>
        <v>paramDt.Add("@UN_PACK_STATUS" , master.UnPackStatus );//開捆狀態</v>
      </c>
      <c r="T21" s="1" t="str">
        <f t="shared" si="14"/>
        <v>{ name: 'unPackStatus' , sort: 'UN_PACK_STATUS' },</v>
      </c>
      <c r="U21" s="1" t="str">
        <f t="shared" si="15"/>
        <v>"unPackStatus":"開捆狀態",</v>
      </c>
      <c r="V21" s="1" t="str">
        <f t="shared" si="16"/>
        <v>this.vo.unPackStatus = '' ; //開捆狀態</v>
      </c>
    </row>
    <row r="22" spans="1:22" ht="14.5" x14ac:dyDescent="0.4">
      <c r="A22" s="1" t="s">
        <v>63</v>
      </c>
      <c r="B22" s="1" t="s">
        <v>36</v>
      </c>
      <c r="C22" s="1" t="s">
        <v>41</v>
      </c>
      <c r="D22" s="1" t="s">
        <v>5</v>
      </c>
      <c r="E22" s="5">
        <v>2000</v>
      </c>
      <c r="F22" s="1" t="str">
        <f t="shared" si="7"/>
        <v>memo</v>
      </c>
      <c r="G22" s="1" t="str">
        <f t="shared" si="0"/>
        <v>Memo</v>
      </c>
      <c r="H22" s="1" t="str">
        <f t="shared" si="17"/>
        <v>string</v>
      </c>
      <c r="I22" s="1" t="str">
        <f t="shared" si="8"/>
        <v xml:space="preserve">///&lt;summary&gt;
///備註
///&lt;/summary&gt;
public string Memo {get; set;}
</v>
      </c>
      <c r="J22" s="1" t="str">
        <f t="shared" si="2"/>
        <v xml:space="preserve"> AND t1.MEMO = @MEMO</v>
      </c>
      <c r="K22" s="1" t="str">
        <f t="shared" si="3"/>
        <v>t1.MEMO        AS Memo,</v>
      </c>
      <c r="L22" s="1" t="str">
        <f t="shared" si="4"/>
        <v>,MEMO</v>
      </c>
      <c r="M22" s="1" t="str">
        <f t="shared" si="5"/>
        <v>,@MEMO</v>
      </c>
      <c r="N22" s="1" t="str">
        <f t="shared" si="6"/>
        <v xml:space="preserve">MEMO = @MEMO, </v>
      </c>
      <c r="O22" s="1" t="str">
        <f t="shared" si="9"/>
        <v>error += ExcelUtil.CheckValue(excelVo.Memo , "備註", false, (null, null, 2000), (true, false, false), (false, false));</v>
      </c>
      <c r="P22" s="1" t="str">
        <f t="shared" si="10"/>
        <v>excelVo.Memo = StringUtil.IsNotEmpty(ExcelUtil.GetCell(sheet, i, j).ToString().TrimEnd())? ExcelUtil.GetCell(sheet, i, j).ToString().TrimEnd().ToUpper():"";j++;//備註</v>
      </c>
      <c r="Q22" s="1" t="str">
        <f t="shared" si="11"/>
        <v>ExcelUtil.SetContent(sheet, row, column++, (string)item["memo"]);</v>
      </c>
      <c r="R22" s="1" t="str">
        <f t="shared" si="12"/>
        <v>paramDt.Add("@MEMO" , Memo );//VARCHAR</v>
      </c>
      <c r="S22" s="1" t="str">
        <f t="shared" si="13"/>
        <v>paramDt.Add("@MEMO" , master.Memo );//備註</v>
      </c>
      <c r="T22" s="1" t="str">
        <f t="shared" si="14"/>
        <v>{ name: 'memo' , sort: 'MEMO' },</v>
      </c>
      <c r="U22" s="1" t="str">
        <f t="shared" si="15"/>
        <v>"memo":"備註",</v>
      </c>
      <c r="V22" s="1" t="str">
        <f t="shared" si="16"/>
        <v>this.vo.memo = '' ; //備註</v>
      </c>
    </row>
    <row r="23" spans="1:22" ht="14.5" x14ac:dyDescent="0.4">
      <c r="A23" s="1" t="s">
        <v>63</v>
      </c>
      <c r="B23" s="1" t="s">
        <v>2</v>
      </c>
      <c r="C23" s="1" t="s">
        <v>10</v>
      </c>
      <c r="D23" s="1" t="s">
        <v>5</v>
      </c>
      <c r="E23" s="5">
        <v>20</v>
      </c>
      <c r="F23" s="1" t="str">
        <f t="shared" si="7"/>
        <v>updatedBy</v>
      </c>
      <c r="G23" s="1" t="str">
        <f t="shared" si="0"/>
        <v>UpdatedBy</v>
      </c>
      <c r="H23" s="1" t="str">
        <f t="shared" si="17"/>
        <v>string</v>
      </c>
      <c r="I23" s="1" t="str">
        <f t="shared" si="8"/>
        <v xml:space="preserve">///&lt;summary&gt;
///更新人員
///&lt;/summary&gt;
public string UpdatedBy {get; set;}
</v>
      </c>
      <c r="J23" s="1" t="str">
        <f t="shared" si="2"/>
        <v xml:space="preserve"> AND t1.UPDATED_BY = @UPDATED_BY</v>
      </c>
      <c r="K23" s="1" t="str">
        <f t="shared" si="3"/>
        <v>t1.UPDATED_BY        AS UpdatedBy,</v>
      </c>
      <c r="L23" s="1" t="str">
        <f t="shared" si="4"/>
        <v>,UPDATED_BY</v>
      </c>
      <c r="M23" s="1" t="str">
        <f t="shared" si="5"/>
        <v>,@UPDATED_BY</v>
      </c>
      <c r="N23" s="1" t="str">
        <f t="shared" si="6"/>
        <v xml:space="preserve">UPDATED_BY = @UPDATED_BY, </v>
      </c>
      <c r="O23" s="1" t="str">
        <f t="shared" si="9"/>
        <v>error += ExcelUtil.CheckValue(excelVo.UpdatedBy , "更新人員", false, (null, null, 20), (true, false, false), (false, false));</v>
      </c>
      <c r="P23" s="1" t="str">
        <f t="shared" si="10"/>
        <v>excelVo.UpdatedBy = StringUtil.IsNotEmpty(ExcelUtil.GetCell(sheet, i, j).ToString().TrimEnd())? ExcelUtil.GetCell(sheet, i, j).ToString().TrimEnd().ToUpper():"";j++;//更新人員</v>
      </c>
      <c r="Q23" s="1" t="str">
        <f t="shared" si="11"/>
        <v>ExcelUtil.SetContent(sheet, row, column++, (string)item["updatedBy"]);</v>
      </c>
      <c r="R23" s="1" t="str">
        <f t="shared" si="12"/>
        <v>paramDt.Add("@UPDATED_BY" , UpdatedBy );//VARCHAR</v>
      </c>
      <c r="S23" s="1" t="str">
        <f t="shared" si="13"/>
        <v>paramDt.Add("@UPDATED_BY" , master.UpdatedBy );//更新人員</v>
      </c>
      <c r="T23" s="1" t="str">
        <f t="shared" si="14"/>
        <v>{ name: 'updatedBy' , sort: 'UPDATED_BY' },</v>
      </c>
      <c r="U23" s="1" t="str">
        <f t="shared" si="15"/>
        <v>"updatedBy":"更新人員",</v>
      </c>
      <c r="V23" s="1" t="str">
        <f t="shared" si="16"/>
        <v>this.vo.updatedBy = '' ; //更新人員</v>
      </c>
    </row>
    <row r="24" spans="1:22" ht="14.5" x14ac:dyDescent="0.4">
      <c r="A24" s="1" t="s">
        <v>63</v>
      </c>
      <c r="B24" s="1" t="s">
        <v>3</v>
      </c>
      <c r="C24" s="1" t="s">
        <v>11</v>
      </c>
      <c r="D24" s="1" t="s">
        <v>9</v>
      </c>
      <c r="E24" s="5"/>
      <c r="F24" s="1" t="str">
        <f t="shared" si="7"/>
        <v>updatedDt</v>
      </c>
      <c r="G24" s="1" t="str">
        <f t="shared" si="0"/>
        <v>UpdatedDt</v>
      </c>
      <c r="H24" s="1" t="str">
        <f t="shared" si="17"/>
        <v>DateTime?</v>
      </c>
      <c r="I24" s="1" t="str">
        <f t="shared" si="8"/>
        <v xml:space="preserve">///&lt;summary&gt;
///更新日期時間
///&lt;/summary&gt;
public DateTime? UpdatedDt {get; set;}
</v>
      </c>
      <c r="J24" s="1" t="str">
        <f t="shared" si="2"/>
        <v xml:space="preserve"> AND t1.UPDATED_DT = @UPDATED_DT</v>
      </c>
      <c r="K24" s="1" t="str">
        <f t="shared" si="3"/>
        <v>t1.UPDATED_DT        AS UpdatedDt,</v>
      </c>
      <c r="L24" s="1" t="str">
        <f t="shared" si="4"/>
        <v>,UPDATED_DT</v>
      </c>
      <c r="M24" s="1" t="str">
        <f t="shared" si="5"/>
        <v>,@UPDATED_DT</v>
      </c>
      <c r="N24" s="1" t="str">
        <f t="shared" si="6"/>
        <v xml:space="preserve">UPDATED_DT = @UPDATED_DT, </v>
      </c>
      <c r="O24" s="1" t="str">
        <f t="shared" si="9"/>
        <v>error += ExcelUtil.CheckValue(excelVo.UpdatedDt , "更新日期時間", false, (null, null, ), (true, false, false), (false, false));</v>
      </c>
      <c r="P24" s="1" t="str">
        <f t="shared" si="10"/>
        <v>excelVo.UpdatedDt = StringUtil.IsNotEmpty(ExcelUtil.GetCell(sheet, i, j).ToString().TrimEnd())? ExcelUtil.GetCell(sheet, i, j).ToString().TrimEnd().ToUpper():"";j++;//更新日期時間</v>
      </c>
      <c r="Q24" s="1" t="str">
        <f t="shared" si="11"/>
        <v>ExcelUtil.SetContent(sheet, row, column++, (string)item["updatedDt"]);</v>
      </c>
      <c r="R24" s="1" t="str">
        <f t="shared" si="12"/>
        <v>paramDt.Add("@UPDATED_DT" , UpdatedDt );//DATETIME</v>
      </c>
      <c r="S24" s="1" t="str">
        <f t="shared" si="13"/>
        <v>paramDt.Add("@UPDATED_DT" , master.UpdatedDt );//更新日期時間</v>
      </c>
      <c r="T24" s="1" t="str">
        <f t="shared" si="14"/>
        <v>{ name: 'updatedDt' , sort: 'UPDATED_DT' },</v>
      </c>
      <c r="U24" s="1" t="str">
        <f t="shared" si="15"/>
        <v>"updatedDt":"更新日期時間",</v>
      </c>
      <c r="V24" s="1" t="str">
        <f t="shared" si="16"/>
        <v>this.vo.updatedDt = '' ; //更新日期時間</v>
      </c>
    </row>
    <row r="25" spans="1:22" ht="14.5" x14ac:dyDescent="0.4">
      <c r="A25" s="1" t="s">
        <v>63</v>
      </c>
      <c r="B25" s="1" t="s">
        <v>4</v>
      </c>
      <c r="C25" s="1" t="s">
        <v>12</v>
      </c>
      <c r="D25" s="1" t="s">
        <v>5</v>
      </c>
      <c r="E25" s="5">
        <v>30</v>
      </c>
      <c r="F25" s="1" t="str">
        <f t="shared" si="7"/>
        <v>funcId</v>
      </c>
      <c r="G25" s="1" t="str">
        <f t="shared" si="0"/>
        <v>FuncId</v>
      </c>
      <c r="H25" s="1" t="str">
        <f t="shared" si="17"/>
        <v>string</v>
      </c>
      <c r="I25" s="1" t="str">
        <f t="shared" si="8"/>
        <v xml:space="preserve">///&lt;summary&gt;
///更新作業FunctionID
///&lt;/summary&gt;
public string FuncId {get; set;}
</v>
      </c>
      <c r="J25" s="1" t="str">
        <f t="shared" si="2"/>
        <v xml:space="preserve"> AND t1.FUNC_ID = @FUNC_ID</v>
      </c>
      <c r="K25" s="1" t="str">
        <f t="shared" si="3"/>
        <v>t1.FUNC_ID        AS FuncId,</v>
      </c>
      <c r="L25" s="1" t="str">
        <f t="shared" si="4"/>
        <v>,FUNC_ID</v>
      </c>
      <c r="M25" s="1" t="str">
        <f t="shared" si="5"/>
        <v>,@FUNC_ID</v>
      </c>
      <c r="N25" s="1" t="str">
        <f t="shared" si="6"/>
        <v xml:space="preserve">FUNC_ID = @FUNC_ID, </v>
      </c>
      <c r="O25" s="1" t="str">
        <f t="shared" si="9"/>
        <v>error += ExcelUtil.CheckValue(excelVo.FuncId , "更新作業FunctionID", false, (null, null, 30), (true, false, false), (false, false));</v>
      </c>
      <c r="P25" s="1" t="str">
        <f t="shared" si="10"/>
        <v>excelVo.FuncId = StringUtil.IsNotEmpty(ExcelUtil.GetCell(sheet, i, j).ToString().TrimEnd())? ExcelUtil.GetCell(sheet, i, j).ToString().TrimEnd().ToUpper():"";j++;//更新作業FunctionID</v>
      </c>
      <c r="Q25" s="1" t="str">
        <f t="shared" si="11"/>
        <v>ExcelUtil.SetContent(sheet, row, column++, (string)item["funcId"]);</v>
      </c>
      <c r="R25" s="1" t="str">
        <f t="shared" si="12"/>
        <v>paramDt.Add("@FUNC_ID" , FuncId );//VARCHAR</v>
      </c>
      <c r="S25" s="1" t="str">
        <f t="shared" si="13"/>
        <v>paramDt.Add("@FUNC_ID" , master.FuncId );//更新作業FunctionID</v>
      </c>
      <c r="T25" s="1" t="str">
        <f t="shared" si="14"/>
        <v>{ name: 'funcId' , sort: 'FUNC_ID' },</v>
      </c>
      <c r="U25" s="1" t="str">
        <f t="shared" si="15"/>
        <v>"funcId":"更新作業FunctionID",</v>
      </c>
      <c r="V25" s="1" t="str">
        <f t="shared" si="16"/>
        <v>this.vo.funcId = '' ; //更新作業FunctionID</v>
      </c>
    </row>
    <row r="26" spans="1:22" ht="14.5" x14ac:dyDescent="0.4">
      <c r="A26" s="1" t="s">
        <v>63</v>
      </c>
      <c r="D26" s="1" t="s">
        <v>5</v>
      </c>
      <c r="E26" s="5">
        <v>20</v>
      </c>
      <c r="F26" s="1" t="str">
        <f t="shared" si="7"/>
        <v/>
      </c>
      <c r="G26" s="1" t="str">
        <f t="shared" si="0"/>
        <v/>
      </c>
      <c r="H26" s="1" t="str">
        <f t="shared" si="17"/>
        <v>string</v>
      </c>
      <c r="I26" s="1" t="str">
        <f t="shared" si="8"/>
        <v xml:space="preserve">///&lt;summary&gt;
///
///&lt;/summary&gt;
public string  {get; set;}
</v>
      </c>
      <c r="J26" s="1" t="str">
        <f t="shared" si="2"/>
        <v xml:space="preserve"> AND t1. = @</v>
      </c>
      <c r="K26" s="1" t="str">
        <f t="shared" si="3"/>
        <v>t1.        AS ,</v>
      </c>
      <c r="L26" s="1" t="str">
        <f t="shared" si="4"/>
        <v>,</v>
      </c>
      <c r="M26" s="1" t="str">
        <f t="shared" si="5"/>
        <v>,@</v>
      </c>
      <c r="N26" s="1" t="str">
        <f t="shared" si="6"/>
        <v xml:space="preserve"> = @, </v>
      </c>
      <c r="O26" s="1" t="str">
        <f t="shared" si="9"/>
        <v>error += ExcelUtil.CheckValue(excelVo. , "", false, (null, null, 20), (true, false, false), (false, false));</v>
      </c>
      <c r="P26" s="1" t="str">
        <f t="shared" si="10"/>
        <v>excelVo. = StringUtil.IsNotEmpty(ExcelUtil.GetCell(sheet, i, j).ToString().TrimEnd())? ExcelUtil.GetCell(sheet, i, j).ToString().TrimEnd().ToUpper():"";j++;//</v>
      </c>
      <c r="Q26" s="1" t="str">
        <f t="shared" si="11"/>
        <v>ExcelUtil.SetContent(sheet, row, column++, (string)item[""]);</v>
      </c>
      <c r="R26" s="1" t="str">
        <f t="shared" si="12"/>
        <v>paramDt.Add("@" ,  );//VARCHAR</v>
      </c>
      <c r="S26" s="1" t="str">
        <f t="shared" si="13"/>
        <v>paramDt.Add("@" , master. );//</v>
      </c>
      <c r="T26" s="1" t="str">
        <f t="shared" si="14"/>
        <v>{ name: '' , sort: '' },</v>
      </c>
      <c r="U26" s="1" t="str">
        <f t="shared" si="15"/>
        <v>"":"",</v>
      </c>
      <c r="V26" s="1" t="str">
        <f t="shared" si="16"/>
        <v>this.vo. = '' ; //</v>
      </c>
    </row>
    <row r="27" spans="1:22" ht="14.5" x14ac:dyDescent="0.4">
      <c r="A27" s="1" t="s">
        <v>63</v>
      </c>
      <c r="D27" s="1" t="s">
        <v>9</v>
      </c>
      <c r="E27" s="5"/>
      <c r="F27" s="1" t="str">
        <f t="shared" si="7"/>
        <v/>
      </c>
      <c r="G27" s="1" t="str">
        <f t="shared" si="0"/>
        <v/>
      </c>
      <c r="H27" s="1" t="str">
        <f t="shared" si="17"/>
        <v>DateTime?</v>
      </c>
      <c r="I27" s="1" t="str">
        <f t="shared" si="8"/>
        <v xml:space="preserve">///&lt;summary&gt;
///
///&lt;/summary&gt;
public DateTime?  {get; set;}
</v>
      </c>
      <c r="J27" s="1" t="str">
        <f t="shared" si="2"/>
        <v xml:space="preserve"> AND t1. = @</v>
      </c>
      <c r="K27" s="1" t="str">
        <f t="shared" si="3"/>
        <v>t1.        AS ,</v>
      </c>
      <c r="L27" s="1" t="str">
        <f t="shared" si="4"/>
        <v>,</v>
      </c>
      <c r="M27" s="1" t="str">
        <f t="shared" si="5"/>
        <v>,@</v>
      </c>
      <c r="N27" s="1" t="str">
        <f t="shared" si="6"/>
        <v xml:space="preserve"> = @, </v>
      </c>
      <c r="O27" s="1" t="str">
        <f t="shared" si="9"/>
        <v>error += ExcelUtil.CheckValue(excelVo. , "", false, (null, null, ), (true, false, false), (false, false));</v>
      </c>
      <c r="P27" s="1" t="str">
        <f t="shared" si="10"/>
        <v>excelVo. = StringUtil.IsNotEmpty(ExcelUtil.GetCell(sheet, i, j).ToString().TrimEnd())? ExcelUtil.GetCell(sheet, i, j).ToString().TrimEnd().ToUpper():"";j++;//</v>
      </c>
      <c r="Q27" s="1" t="str">
        <f t="shared" si="11"/>
        <v>ExcelUtil.SetContent(sheet, row, column++, (string)item[""]);</v>
      </c>
      <c r="R27" s="1" t="str">
        <f t="shared" si="12"/>
        <v>paramDt.Add("@" ,  );//DATETIME</v>
      </c>
      <c r="S27" s="1" t="str">
        <f t="shared" si="13"/>
        <v>paramDt.Add("@" , master. );//</v>
      </c>
      <c r="T27" s="1" t="str">
        <f t="shared" si="14"/>
        <v>{ name: '' , sort: '' },</v>
      </c>
      <c r="U27" s="1" t="str">
        <f t="shared" si="15"/>
        <v>"":"",</v>
      </c>
      <c r="V27" s="1" t="str">
        <f t="shared" si="16"/>
        <v>this.vo. = '' ; //</v>
      </c>
    </row>
    <row r="28" spans="1:22" ht="14.5" x14ac:dyDescent="0.4">
      <c r="A28" s="1" t="s">
        <v>63</v>
      </c>
      <c r="D28" s="1" t="s">
        <v>5</v>
      </c>
      <c r="E28" s="5">
        <v>30</v>
      </c>
      <c r="F28" s="1" t="str">
        <f t="shared" si="7"/>
        <v/>
      </c>
      <c r="G28" s="1" t="str">
        <f t="shared" si="0"/>
        <v/>
      </c>
      <c r="H28" s="1" t="str">
        <f t="shared" si="17"/>
        <v>string</v>
      </c>
      <c r="I28" s="1" t="str">
        <f t="shared" si="8"/>
        <v xml:space="preserve">///&lt;summary&gt;
///
///&lt;/summary&gt;
public string  {get; set;}
</v>
      </c>
      <c r="J28" s="1" t="str">
        <f t="shared" si="2"/>
        <v xml:space="preserve"> AND t1. = @</v>
      </c>
      <c r="K28" s="1" t="str">
        <f t="shared" si="3"/>
        <v>t1.        AS ,</v>
      </c>
      <c r="L28" s="1" t="str">
        <f t="shared" si="4"/>
        <v>,</v>
      </c>
      <c r="M28" s="1" t="str">
        <f t="shared" si="5"/>
        <v>,@</v>
      </c>
      <c r="N28" s="1" t="str">
        <f t="shared" si="6"/>
        <v xml:space="preserve"> = @, </v>
      </c>
      <c r="O28" s="1" t="str">
        <f t="shared" si="9"/>
        <v>error += ExcelUtil.CheckValue(excelVo. , "", false, (null, null, 30), (true, false, false), (false, false));</v>
      </c>
      <c r="P28" s="1" t="str">
        <f t="shared" si="10"/>
        <v>excelVo. = StringUtil.IsNotEmpty(ExcelUtil.GetCell(sheet, i, j).ToString().TrimEnd())? ExcelUtil.GetCell(sheet, i, j).ToString().TrimEnd().ToUpper():"";j++;//</v>
      </c>
      <c r="Q28" s="1" t="str">
        <f t="shared" si="11"/>
        <v>ExcelUtil.SetContent(sheet, row, column++, (string)item[""]);</v>
      </c>
      <c r="R28" s="1" t="str">
        <f t="shared" si="12"/>
        <v>paramDt.Add("@" ,  );//VARCHAR</v>
      </c>
      <c r="S28" s="1" t="str">
        <f t="shared" si="13"/>
        <v>paramDt.Add("@" , master. );//</v>
      </c>
      <c r="T28" s="1" t="str">
        <f t="shared" si="14"/>
        <v>{ name: '' , sort: '' },</v>
      </c>
      <c r="U28" s="1" t="str">
        <f t="shared" si="15"/>
        <v>"":"",</v>
      </c>
      <c r="V28" s="1" t="str">
        <f t="shared" si="16"/>
        <v>this.vo. = '' ; //</v>
      </c>
    </row>
    <row r="29" spans="1:22" ht="14.5" x14ac:dyDescent="0.4">
      <c r="A29" s="1" t="s">
        <v>63</v>
      </c>
      <c r="D29" s="1" t="s">
        <v>5</v>
      </c>
      <c r="E29" s="5">
        <v>30</v>
      </c>
      <c r="F29" s="1" t="str">
        <f t="shared" si="7"/>
        <v/>
      </c>
      <c r="G29" s="1" t="str">
        <f t="shared" si="0"/>
        <v/>
      </c>
      <c r="H29" s="1" t="str">
        <f t="shared" si="17"/>
        <v>string</v>
      </c>
      <c r="I29" s="1" t="str">
        <f t="shared" si="8"/>
        <v xml:space="preserve">///&lt;summary&gt;
///
///&lt;/summary&gt;
public string  {get; set;}
</v>
      </c>
      <c r="J29" s="1" t="str">
        <f t="shared" si="2"/>
        <v xml:space="preserve"> AND t1. = @</v>
      </c>
      <c r="K29" s="1" t="str">
        <f t="shared" si="3"/>
        <v>t1.        AS ,</v>
      </c>
      <c r="L29" s="1" t="str">
        <f t="shared" si="4"/>
        <v>,</v>
      </c>
      <c r="M29" s="1" t="str">
        <f t="shared" si="5"/>
        <v>,@</v>
      </c>
      <c r="N29" s="1" t="str">
        <f t="shared" si="6"/>
        <v xml:space="preserve"> = @, </v>
      </c>
      <c r="O29" s="1" t="str">
        <f t="shared" si="9"/>
        <v>error += ExcelUtil.CheckValue(excelVo. , "", false, (null, null, 30), (true, false, false), (false, false));</v>
      </c>
      <c r="P29" s="1" t="str">
        <f t="shared" si="10"/>
        <v>excelVo. = StringUtil.IsNotEmpty(ExcelUtil.GetCell(sheet, i, j).ToString().TrimEnd())? ExcelUtil.GetCell(sheet, i, j).ToString().TrimEnd().ToUpper():"";j++;//</v>
      </c>
      <c r="Q29" s="1" t="str">
        <f t="shared" si="11"/>
        <v>ExcelUtil.SetContent(sheet, row, column++, (string)item[""]);</v>
      </c>
      <c r="R29" s="1" t="str">
        <f t="shared" si="12"/>
        <v>paramDt.Add("@" ,  );//VARCHAR</v>
      </c>
      <c r="S29" s="1" t="str">
        <f t="shared" si="13"/>
        <v>paramDt.Add("@" , master. );//</v>
      </c>
      <c r="T29" s="1" t="str">
        <f t="shared" si="14"/>
        <v>{ name: '' , sort: '' },</v>
      </c>
      <c r="U29" s="1" t="str">
        <f t="shared" si="15"/>
        <v>"":"",</v>
      </c>
      <c r="V29" s="1" t="str">
        <f t="shared" si="16"/>
        <v>this.vo. = '' ; //</v>
      </c>
    </row>
    <row r="30" spans="1:22" x14ac:dyDescent="0.4">
      <c r="A30" s="1" t="s">
        <v>63</v>
      </c>
      <c r="D30" s="1" t="s">
        <v>5</v>
      </c>
      <c r="H30" s="1" t="str">
        <f t="shared" si="17"/>
        <v>string</v>
      </c>
      <c r="I30" s="1" t="str">
        <f t="shared" si="8"/>
        <v xml:space="preserve">///&lt;summary&gt;
///
///&lt;/summary&gt;
public string  {get; set;}
</v>
      </c>
      <c r="J30" s="1" t="str">
        <f t="shared" si="2"/>
        <v xml:space="preserve"> AND t1. = @</v>
      </c>
      <c r="K30" s="1" t="str">
        <f t="shared" si="3"/>
        <v>t1.        AS ,</v>
      </c>
      <c r="L30" s="1" t="str">
        <f t="shared" si="4"/>
        <v>,</v>
      </c>
      <c r="M30" s="1" t="str">
        <f t="shared" si="5"/>
        <v>,@</v>
      </c>
      <c r="N30" s="1" t="str">
        <f t="shared" si="6"/>
        <v xml:space="preserve"> = @, </v>
      </c>
      <c r="O30" s="1" t="str">
        <f t="shared" si="9"/>
        <v>error += ExcelUtil.CheckValue(excelVo. , "", false, (null, null, ), (true, false, false), (false, false));</v>
      </c>
      <c r="P30" s="1" t="str">
        <f t="shared" si="10"/>
        <v>excelVo. = StringUtil.IsNotEmpty(ExcelUtil.GetCell(sheet, i, j).ToString().TrimEnd())? ExcelUtil.GetCell(sheet, i, j).ToString().TrimEnd().ToUpper():"";j++;//</v>
      </c>
      <c r="Q30" s="1" t="str">
        <f t="shared" si="11"/>
        <v>ExcelUtil.SetContent(sheet, row, column++, (string)item[""]);</v>
      </c>
      <c r="R30" s="1" t="str">
        <f t="shared" si="12"/>
        <v>paramDt.Add("@" ,  );//VARCHAR</v>
      </c>
      <c r="S30" s="1" t="str">
        <f t="shared" si="13"/>
        <v>paramDt.Add("@" , master. );//</v>
      </c>
      <c r="T30" s="1" t="str">
        <f t="shared" ref="T30:T88" si="18">"{ name: '"&amp;F30&amp;"' , sort: '"&amp;F30&amp;"' },"</f>
        <v>{ name: '' , sort: '' },</v>
      </c>
      <c r="U30" s="1" t="str">
        <f t="shared" si="15"/>
        <v>"":"",</v>
      </c>
      <c r="V30" s="1" t="str">
        <f t="shared" si="16"/>
        <v>this.vo. = '' ; //</v>
      </c>
    </row>
    <row r="31" spans="1:22" x14ac:dyDescent="0.4">
      <c r="A31" s="1" t="s">
        <v>63</v>
      </c>
      <c r="D31" s="1" t="s">
        <v>5</v>
      </c>
      <c r="H31" s="1" t="str">
        <f t="shared" si="17"/>
        <v>string</v>
      </c>
      <c r="I31" s="1" t="str">
        <f t="shared" si="8"/>
        <v xml:space="preserve">///&lt;summary&gt;
///
///&lt;/summary&gt;
public string  {get; set;}
</v>
      </c>
      <c r="J31" s="1" t="str">
        <f t="shared" si="2"/>
        <v xml:space="preserve"> AND t1. = @</v>
      </c>
      <c r="K31" s="1" t="str">
        <f t="shared" si="3"/>
        <v>t1.        AS ,</v>
      </c>
      <c r="L31" s="1" t="str">
        <f t="shared" si="4"/>
        <v>,</v>
      </c>
      <c r="M31" s="1" t="str">
        <f t="shared" si="5"/>
        <v>,@</v>
      </c>
      <c r="N31" s="1" t="str">
        <f t="shared" si="6"/>
        <v xml:space="preserve"> = @, </v>
      </c>
      <c r="O31" s="1" t="str">
        <f t="shared" si="9"/>
        <v>error += ExcelUtil.CheckValue(excelVo. , "", false, (null, null, ), (true, false, false), (false, false));</v>
      </c>
      <c r="P31" s="1" t="str">
        <f t="shared" si="10"/>
        <v>excelVo. = StringUtil.IsNotEmpty(ExcelUtil.GetCell(sheet, i, j).ToString().TrimEnd())? ExcelUtil.GetCell(sheet, i, j).ToString().TrimEnd().ToUpper():"";j++;//</v>
      </c>
      <c r="Q31" s="1" t="str">
        <f t="shared" si="11"/>
        <v>ExcelUtil.SetContent(sheet, row, column++, (string)item[""]);</v>
      </c>
      <c r="R31" s="1" t="str">
        <f t="shared" si="12"/>
        <v>paramDt.Add("@" ,  );//VARCHAR</v>
      </c>
      <c r="S31" s="1" t="str">
        <f t="shared" si="13"/>
        <v>paramDt.Add("@" , master. );//</v>
      </c>
      <c r="T31" s="1" t="str">
        <f t="shared" si="18"/>
        <v>{ name: '' , sort: '' },</v>
      </c>
      <c r="U31" s="1" t="str">
        <f t="shared" si="15"/>
        <v>"":"",</v>
      </c>
      <c r="V31" s="1" t="str">
        <f t="shared" si="16"/>
        <v>this.vo. = '' ; //</v>
      </c>
    </row>
    <row r="32" spans="1:22" x14ac:dyDescent="0.4">
      <c r="A32" s="1" t="s">
        <v>63</v>
      </c>
      <c r="D32" s="1" t="s">
        <v>5</v>
      </c>
      <c r="H32" s="1" t="str">
        <f t="shared" si="17"/>
        <v>string</v>
      </c>
      <c r="I32" s="1" t="str">
        <f t="shared" si="8"/>
        <v xml:space="preserve">///&lt;summary&gt;
///
///&lt;/summary&gt;
public string  {get; set;}
</v>
      </c>
      <c r="J32" s="1" t="str">
        <f t="shared" si="2"/>
        <v xml:space="preserve"> AND t1. = @</v>
      </c>
      <c r="K32" s="1" t="str">
        <f t="shared" si="3"/>
        <v>t1.        AS ,</v>
      </c>
      <c r="L32" s="1" t="str">
        <f t="shared" si="4"/>
        <v>,</v>
      </c>
      <c r="M32" s="1" t="str">
        <f t="shared" si="5"/>
        <v>,@</v>
      </c>
      <c r="N32" s="1" t="str">
        <f t="shared" si="6"/>
        <v xml:space="preserve"> = @, </v>
      </c>
      <c r="O32" s="1" t="str">
        <f t="shared" si="9"/>
        <v>error += ExcelUtil.CheckValue(excelVo. , "", false, (null, null, ), (true, false, false), (false, false));</v>
      </c>
      <c r="P32" s="1" t="str">
        <f t="shared" si="10"/>
        <v>excelVo. = StringUtil.IsNotEmpty(ExcelUtil.GetCell(sheet, i, j).ToString().TrimEnd())? ExcelUtil.GetCell(sheet, i, j).ToString().TrimEnd().ToUpper():"";j++;//</v>
      </c>
      <c r="Q32" s="1" t="str">
        <f t="shared" si="11"/>
        <v>ExcelUtil.SetContent(sheet, row, column++, (string)item[""]);</v>
      </c>
      <c r="R32" s="1" t="str">
        <f t="shared" si="12"/>
        <v>paramDt.Add("@" ,  );//VARCHAR</v>
      </c>
      <c r="S32" s="1" t="str">
        <f t="shared" si="13"/>
        <v>paramDt.Add("@" , master. );//</v>
      </c>
      <c r="T32" s="1" t="str">
        <f t="shared" si="18"/>
        <v>{ name: '' , sort: '' },</v>
      </c>
      <c r="U32" s="1" t="str">
        <f t="shared" si="15"/>
        <v>"":"",</v>
      </c>
      <c r="V32" s="1" t="str">
        <f t="shared" si="16"/>
        <v>this.vo. = '' ; //</v>
      </c>
    </row>
    <row r="33" spans="1:22" x14ac:dyDescent="0.4">
      <c r="A33" s="1" t="s">
        <v>63</v>
      </c>
      <c r="D33" s="1" t="s">
        <v>6</v>
      </c>
      <c r="H33" s="1" t="str">
        <f t="shared" si="17"/>
        <v>decimal?</v>
      </c>
      <c r="I33" s="1" t="str">
        <f t="shared" si="8"/>
        <v xml:space="preserve">///&lt;summary&gt;
///
///&lt;/summary&gt;
public decimal?  {get; set;}
</v>
      </c>
      <c r="J33" s="1" t="str">
        <f t="shared" si="2"/>
        <v xml:space="preserve"> AND t1. = @</v>
      </c>
      <c r="K33" s="1" t="str">
        <f t="shared" si="3"/>
        <v>t1.        AS ,</v>
      </c>
      <c r="L33" s="1" t="str">
        <f t="shared" si="4"/>
        <v>,</v>
      </c>
      <c r="M33" s="1" t="str">
        <f t="shared" si="5"/>
        <v>,@</v>
      </c>
      <c r="N33" s="1" t="str">
        <f t="shared" si="6"/>
        <v xml:space="preserve"> = @, </v>
      </c>
      <c r="O33" s="1" t="str">
        <f t="shared" si="9"/>
        <v>error += ExcelUtil.CheckValue(excelVo..ToString()  , "", false, (null, null, ), (false, false, true), (false, false));</v>
      </c>
      <c r="P33" s="1" t="str">
        <f t="shared" si="10"/>
        <v>excelVo. = StringUtil.IsNotEmpty(ExcelUtil.GetCell(sheet, i, j).ToString().TrimEnd())? ExcelUtil.GetCell(sheet, i, j).ToString().TrimEnd().ToUpper():"";j++;//</v>
      </c>
      <c r="Q33" s="1" t="str">
        <f t="shared" si="11"/>
        <v>ExcelUtil.SetContent(sheet, row, column++, (string)item[""]);</v>
      </c>
      <c r="R33" s="1" t="str">
        <f t="shared" si="12"/>
        <v>paramDt.Add("@" ,  );//DECIMAL</v>
      </c>
      <c r="S33" s="1" t="str">
        <f t="shared" si="13"/>
        <v>paramDt.Add("@" , master. );//</v>
      </c>
      <c r="T33" s="1" t="str">
        <f t="shared" si="18"/>
        <v>{ name: '' , sort: '' },</v>
      </c>
      <c r="U33" s="1" t="str">
        <f t="shared" si="15"/>
        <v>"":"",</v>
      </c>
      <c r="V33" s="1" t="str">
        <f t="shared" si="16"/>
        <v>this.vo. = 0 ; //</v>
      </c>
    </row>
    <row r="34" spans="1:22" x14ac:dyDescent="0.4">
      <c r="A34" s="1" t="s">
        <v>63</v>
      </c>
      <c r="D34" s="1" t="s">
        <v>5</v>
      </c>
      <c r="H34" s="1" t="str">
        <f t="shared" si="17"/>
        <v>string</v>
      </c>
      <c r="I34" s="1" t="str">
        <f t="shared" si="8"/>
        <v xml:space="preserve">///&lt;summary&gt;
///
///&lt;/summary&gt;
public string  {get; set;}
</v>
      </c>
      <c r="J34" s="1" t="str">
        <f t="shared" si="2"/>
        <v xml:space="preserve"> AND t1. = @</v>
      </c>
      <c r="K34" s="1" t="str">
        <f t="shared" si="3"/>
        <v>t1.        AS ,</v>
      </c>
      <c r="L34" s="1" t="str">
        <f t="shared" si="4"/>
        <v>,</v>
      </c>
      <c r="M34" s="1" t="str">
        <f t="shared" si="5"/>
        <v>,@</v>
      </c>
      <c r="N34" s="1" t="str">
        <f t="shared" si="6"/>
        <v xml:space="preserve"> = @, </v>
      </c>
      <c r="O34" s="1" t="str">
        <f t="shared" si="9"/>
        <v>error += ExcelUtil.CheckValue(excelVo. , "", false, (null, null, ), (true, false, false), (false, false));</v>
      </c>
      <c r="P34" s="1" t="str">
        <f t="shared" si="10"/>
        <v>excelVo. = StringUtil.IsNotEmpty(ExcelUtil.GetCell(sheet, i, j).ToString().TrimEnd())? ExcelUtil.GetCell(sheet, i, j).ToString().TrimEnd().ToUpper():"";j++;//</v>
      </c>
      <c r="Q34" s="1" t="str">
        <f t="shared" si="11"/>
        <v>ExcelUtil.SetContent(sheet, row, column++, (string)item[""]);</v>
      </c>
      <c r="R34" s="1" t="str">
        <f t="shared" si="12"/>
        <v>paramDt.Add("@" ,  );//VARCHAR</v>
      </c>
      <c r="S34" s="1" t="str">
        <f t="shared" si="13"/>
        <v>paramDt.Add("@" , master. );//</v>
      </c>
      <c r="T34" s="1" t="str">
        <f t="shared" si="18"/>
        <v>{ name: '' , sort: '' },</v>
      </c>
      <c r="U34" s="1" t="str">
        <f t="shared" si="15"/>
        <v>"":"",</v>
      </c>
      <c r="V34" s="1" t="str">
        <f t="shared" si="16"/>
        <v>this.vo. = '' ; //</v>
      </c>
    </row>
    <row r="35" spans="1:22" x14ac:dyDescent="0.4">
      <c r="A35" s="1" t="s">
        <v>63</v>
      </c>
      <c r="D35" s="1" t="s">
        <v>5</v>
      </c>
      <c r="H35" s="1" t="str">
        <f t="shared" si="17"/>
        <v>string</v>
      </c>
      <c r="I35" s="1" t="str">
        <f t="shared" si="8"/>
        <v xml:space="preserve">///&lt;summary&gt;
///
///&lt;/summary&gt;
public string  {get; set;}
</v>
      </c>
      <c r="J35" s="1" t="str">
        <f t="shared" si="2"/>
        <v xml:space="preserve"> AND t1. = @</v>
      </c>
      <c r="K35" s="1" t="str">
        <f t="shared" si="3"/>
        <v>t1.        AS ,</v>
      </c>
      <c r="L35" s="1" t="str">
        <f t="shared" si="4"/>
        <v>,</v>
      </c>
      <c r="M35" s="1" t="str">
        <f t="shared" si="5"/>
        <v>,@</v>
      </c>
      <c r="N35" s="1" t="str">
        <f t="shared" si="6"/>
        <v xml:space="preserve"> = @, </v>
      </c>
      <c r="O35" s="1" t="str">
        <f t="shared" si="9"/>
        <v>error += ExcelUtil.CheckValue(excelVo. , "", false, (null, null, ), (true, false, false), (false, false));</v>
      </c>
      <c r="P35" s="1" t="str">
        <f t="shared" si="10"/>
        <v>excelVo. = StringUtil.IsNotEmpty(ExcelUtil.GetCell(sheet, i, j).ToString().TrimEnd())? ExcelUtil.GetCell(sheet, i, j).ToString().TrimEnd().ToUpper():"";j++;//</v>
      </c>
      <c r="Q35" s="1" t="str">
        <f t="shared" si="11"/>
        <v>ExcelUtil.SetContent(sheet, row, column++, (string)item[""]);</v>
      </c>
      <c r="R35" s="1" t="str">
        <f t="shared" si="12"/>
        <v>paramDt.Add("@" ,  );//VARCHAR</v>
      </c>
      <c r="S35" s="1" t="str">
        <f t="shared" si="13"/>
        <v>paramDt.Add("@" , master. );//</v>
      </c>
      <c r="T35" s="1" t="str">
        <f t="shared" si="18"/>
        <v>{ name: '' , sort: '' },</v>
      </c>
      <c r="U35" s="1" t="str">
        <f t="shared" si="15"/>
        <v>"":"",</v>
      </c>
      <c r="V35" s="1" t="str">
        <f t="shared" si="16"/>
        <v>this.vo. = '' ; //</v>
      </c>
    </row>
    <row r="36" spans="1:22" x14ac:dyDescent="0.4">
      <c r="A36" s="1" t="s">
        <v>63</v>
      </c>
      <c r="D36" s="1" t="s">
        <v>5</v>
      </c>
      <c r="H36" s="1" t="str">
        <f t="shared" si="17"/>
        <v>string</v>
      </c>
      <c r="I36" s="1" t="str">
        <f t="shared" si="8"/>
        <v xml:space="preserve">///&lt;summary&gt;
///
///&lt;/summary&gt;
public string  {get; set;}
</v>
      </c>
      <c r="J36" s="1" t="str">
        <f t="shared" si="2"/>
        <v xml:space="preserve"> AND t1. = @</v>
      </c>
      <c r="K36" s="1" t="str">
        <f t="shared" si="3"/>
        <v>t1.        AS ,</v>
      </c>
      <c r="L36" s="1" t="str">
        <f t="shared" si="4"/>
        <v>,</v>
      </c>
      <c r="M36" s="1" t="str">
        <f t="shared" si="5"/>
        <v>,@</v>
      </c>
      <c r="N36" s="1" t="str">
        <f t="shared" si="6"/>
        <v xml:space="preserve"> = @, </v>
      </c>
      <c r="O36" s="1" t="str">
        <f t="shared" si="9"/>
        <v>error += ExcelUtil.CheckValue(excelVo. , "", false, (null, null, ), (true, false, false), (false, false));</v>
      </c>
      <c r="P36" s="1" t="str">
        <f t="shared" si="10"/>
        <v>excelVo. = StringUtil.IsNotEmpty(ExcelUtil.GetCell(sheet, i, j).ToString().TrimEnd())? ExcelUtil.GetCell(sheet, i, j).ToString().TrimEnd().ToUpper():"";j++;//</v>
      </c>
      <c r="Q36" s="1" t="str">
        <f t="shared" si="11"/>
        <v>ExcelUtil.SetContent(sheet, row, column++, (string)item[""]);</v>
      </c>
      <c r="R36" s="1" t="str">
        <f t="shared" si="12"/>
        <v>paramDt.Add("@" ,  );//VARCHAR</v>
      </c>
      <c r="S36" s="1" t="str">
        <f t="shared" si="13"/>
        <v>paramDt.Add("@" , master. );//</v>
      </c>
      <c r="T36" s="1" t="str">
        <f t="shared" si="18"/>
        <v>{ name: '' , sort: '' },</v>
      </c>
      <c r="U36" s="1" t="str">
        <f t="shared" si="15"/>
        <v>"":"",</v>
      </c>
      <c r="V36" s="1" t="str">
        <f t="shared" si="16"/>
        <v>this.vo. = '' ; //</v>
      </c>
    </row>
    <row r="37" spans="1:22" x14ac:dyDescent="0.4">
      <c r="A37" s="1" t="s">
        <v>63</v>
      </c>
      <c r="D37" s="1" t="s">
        <v>5</v>
      </c>
      <c r="H37" s="1" t="str">
        <f t="shared" si="17"/>
        <v>string</v>
      </c>
      <c r="I37" s="1" t="str">
        <f t="shared" si="8"/>
        <v xml:space="preserve">///&lt;summary&gt;
///
///&lt;/summary&gt;
public string  {get; set;}
</v>
      </c>
      <c r="J37" s="1" t="str">
        <f t="shared" si="2"/>
        <v xml:space="preserve"> AND t1. = @</v>
      </c>
      <c r="K37" s="1" t="str">
        <f t="shared" si="3"/>
        <v>t1.        AS ,</v>
      </c>
      <c r="L37" s="1" t="str">
        <f t="shared" si="4"/>
        <v>,</v>
      </c>
      <c r="M37" s="1" t="str">
        <f t="shared" si="5"/>
        <v>,@</v>
      </c>
      <c r="N37" s="1" t="str">
        <f t="shared" si="6"/>
        <v xml:space="preserve"> = @, </v>
      </c>
      <c r="O37" s="1" t="str">
        <f t="shared" si="9"/>
        <v>error += ExcelUtil.CheckValue(excelVo. , "", false, (null, null, ), (true, false, false), (false, false));</v>
      </c>
      <c r="P37" s="1" t="str">
        <f t="shared" si="10"/>
        <v>excelVo. = StringUtil.IsNotEmpty(ExcelUtil.GetCell(sheet, i, j).ToString().TrimEnd())? ExcelUtil.GetCell(sheet, i, j).ToString().TrimEnd().ToUpper():"";j++;//</v>
      </c>
      <c r="Q37" s="1" t="str">
        <f t="shared" si="11"/>
        <v>ExcelUtil.SetContent(sheet, row, column++, (string)item[""]);</v>
      </c>
      <c r="R37" s="1" t="str">
        <f t="shared" si="12"/>
        <v>paramDt.Add("@" ,  );//VARCHAR</v>
      </c>
      <c r="S37" s="1" t="str">
        <f t="shared" si="13"/>
        <v>paramDt.Add("@" , master. );//</v>
      </c>
      <c r="T37" s="1" t="str">
        <f t="shared" si="18"/>
        <v>{ name: '' , sort: '' },</v>
      </c>
      <c r="U37" s="1" t="str">
        <f t="shared" si="15"/>
        <v>"":"",</v>
      </c>
      <c r="V37" s="1" t="str">
        <f t="shared" si="16"/>
        <v>this.vo. = '' ; //</v>
      </c>
    </row>
    <row r="38" spans="1:22" x14ac:dyDescent="0.4">
      <c r="A38" s="1" t="s">
        <v>63</v>
      </c>
      <c r="D38" s="1" t="s">
        <v>6</v>
      </c>
      <c r="H38" s="1" t="str">
        <f t="shared" si="17"/>
        <v>decimal?</v>
      </c>
      <c r="I38" s="1" t="str">
        <f t="shared" si="8"/>
        <v xml:space="preserve">///&lt;summary&gt;
///
///&lt;/summary&gt;
public decimal?  {get; set;}
</v>
      </c>
      <c r="J38" s="1" t="str">
        <f t="shared" si="2"/>
        <v xml:space="preserve"> AND t1. = @</v>
      </c>
      <c r="K38" s="1" t="str">
        <f t="shared" si="3"/>
        <v>t1.        AS ,</v>
      </c>
      <c r="L38" s="1" t="str">
        <f t="shared" si="4"/>
        <v>,</v>
      </c>
      <c r="M38" s="1" t="str">
        <f t="shared" si="5"/>
        <v>,@</v>
      </c>
      <c r="N38" s="1" t="str">
        <f t="shared" si="6"/>
        <v xml:space="preserve"> = @, </v>
      </c>
      <c r="O38" s="1" t="str">
        <f t="shared" si="9"/>
        <v>error += ExcelUtil.CheckValue(excelVo..ToString()  , "", false, (null, null, ), (false, false, true), (false, false));</v>
      </c>
      <c r="P38" s="1" t="str">
        <f t="shared" si="10"/>
        <v>excelVo. = StringUtil.IsNotEmpty(ExcelUtil.GetCell(sheet, i, j).ToString().TrimEnd())? ExcelUtil.GetCell(sheet, i, j).ToString().TrimEnd().ToUpper():"";j++;//</v>
      </c>
      <c r="Q38" s="1" t="str">
        <f t="shared" si="11"/>
        <v>ExcelUtil.SetContent(sheet, row, column++, (string)item[""]);</v>
      </c>
      <c r="R38" s="1" t="str">
        <f t="shared" si="12"/>
        <v>paramDt.Add("@" ,  );//DECIMAL</v>
      </c>
      <c r="S38" s="1" t="str">
        <f t="shared" si="13"/>
        <v>paramDt.Add("@" , master. );//</v>
      </c>
      <c r="T38" s="1" t="str">
        <f t="shared" si="18"/>
        <v>{ name: '' , sort: '' },</v>
      </c>
      <c r="U38" s="1" t="str">
        <f t="shared" si="15"/>
        <v>"":"",</v>
      </c>
      <c r="V38" s="1" t="str">
        <f t="shared" si="16"/>
        <v>this.vo. = 0 ; //</v>
      </c>
    </row>
    <row r="39" spans="1:22" x14ac:dyDescent="0.4">
      <c r="A39" s="1" t="s">
        <v>63</v>
      </c>
      <c r="D39" s="1" t="s">
        <v>6</v>
      </c>
      <c r="H39" s="1" t="str">
        <f t="shared" si="17"/>
        <v>decimal?</v>
      </c>
      <c r="I39" s="1" t="str">
        <f t="shared" si="8"/>
        <v xml:space="preserve">///&lt;summary&gt;
///
///&lt;/summary&gt;
public decimal?  {get; set;}
</v>
      </c>
      <c r="J39" s="1" t="str">
        <f t="shared" si="2"/>
        <v xml:space="preserve"> AND t1. = @</v>
      </c>
      <c r="K39" s="1" t="str">
        <f t="shared" si="3"/>
        <v>t1.        AS ,</v>
      </c>
      <c r="L39" s="1" t="str">
        <f t="shared" si="4"/>
        <v>,</v>
      </c>
      <c r="M39" s="1" t="str">
        <f t="shared" si="5"/>
        <v>,@</v>
      </c>
      <c r="N39" s="1" t="str">
        <f t="shared" si="6"/>
        <v xml:space="preserve"> = @, </v>
      </c>
      <c r="O39" s="1" t="str">
        <f t="shared" si="9"/>
        <v>error += ExcelUtil.CheckValue(excelVo..ToString()  , "", false, (null, null, ), (false, false, true), (false, false));</v>
      </c>
      <c r="P39" s="1" t="str">
        <f t="shared" si="10"/>
        <v>excelVo. = StringUtil.IsNotEmpty(ExcelUtil.GetCell(sheet, i, j).ToString().TrimEnd())? ExcelUtil.GetCell(sheet, i, j).ToString().TrimEnd().ToUpper():"";j++;//</v>
      </c>
      <c r="Q39" s="1" t="str">
        <f t="shared" si="11"/>
        <v>ExcelUtil.SetContent(sheet, row, column++, (string)item[""]);</v>
      </c>
      <c r="R39" s="1" t="str">
        <f t="shared" si="12"/>
        <v>paramDt.Add("@" ,  );//DECIMAL</v>
      </c>
      <c r="S39" s="1" t="str">
        <f t="shared" si="13"/>
        <v>paramDt.Add("@" , master. );//</v>
      </c>
      <c r="T39" s="1" t="str">
        <f t="shared" si="18"/>
        <v>{ name: '' , sort: '' },</v>
      </c>
      <c r="U39" s="1" t="str">
        <f t="shared" si="15"/>
        <v>"":"",</v>
      </c>
      <c r="V39" s="1" t="str">
        <f t="shared" si="16"/>
        <v>this.vo. = 0 ; //</v>
      </c>
    </row>
    <row r="40" spans="1:22" x14ac:dyDescent="0.4">
      <c r="A40" s="1" t="s">
        <v>63</v>
      </c>
      <c r="D40" s="1" t="s">
        <v>6</v>
      </c>
      <c r="H40" s="1" t="str">
        <f t="shared" si="17"/>
        <v>decimal?</v>
      </c>
      <c r="I40" s="1" t="str">
        <f t="shared" si="8"/>
        <v xml:space="preserve">///&lt;summary&gt;
///
///&lt;/summary&gt;
public decimal?  {get; set;}
</v>
      </c>
      <c r="J40" s="1" t="str">
        <f t="shared" si="2"/>
        <v xml:space="preserve"> AND t1. = @</v>
      </c>
      <c r="K40" s="1" t="str">
        <f t="shared" si="3"/>
        <v>t1.        AS ,</v>
      </c>
      <c r="L40" s="1" t="str">
        <f t="shared" si="4"/>
        <v>,</v>
      </c>
      <c r="M40" s="1" t="str">
        <f t="shared" si="5"/>
        <v>,@</v>
      </c>
      <c r="N40" s="1" t="str">
        <f t="shared" si="6"/>
        <v xml:space="preserve"> = @, </v>
      </c>
      <c r="O40" s="1" t="str">
        <f t="shared" si="9"/>
        <v>error += ExcelUtil.CheckValue(excelVo..ToString()  , "", false, (null, null, ), (false, false, true), (false, false));</v>
      </c>
      <c r="P40" s="1" t="str">
        <f t="shared" si="10"/>
        <v>excelVo. = StringUtil.IsNotEmpty(ExcelUtil.GetCell(sheet, i, j).ToString().TrimEnd())? ExcelUtil.GetCell(sheet, i, j).ToString().TrimEnd().ToUpper():"";j++;//</v>
      </c>
      <c r="Q40" s="1" t="str">
        <f t="shared" si="11"/>
        <v>ExcelUtil.SetContent(sheet, row, column++, (string)item[""]);</v>
      </c>
      <c r="R40" s="1" t="str">
        <f t="shared" si="12"/>
        <v>paramDt.Add("@" ,  );//DECIMAL</v>
      </c>
      <c r="S40" s="1" t="str">
        <f t="shared" si="13"/>
        <v>paramDt.Add("@" , master. );//</v>
      </c>
      <c r="T40" s="1" t="str">
        <f t="shared" si="18"/>
        <v>{ name: '' , sort: '' },</v>
      </c>
      <c r="U40" s="1" t="str">
        <f t="shared" si="15"/>
        <v>"":"",</v>
      </c>
      <c r="V40" s="1" t="str">
        <f t="shared" si="16"/>
        <v>this.vo. = 0 ; //</v>
      </c>
    </row>
    <row r="41" spans="1:22" x14ac:dyDescent="0.4">
      <c r="A41" s="1" t="s">
        <v>63</v>
      </c>
      <c r="D41" s="1" t="s">
        <v>6</v>
      </c>
      <c r="H41" s="1" t="str">
        <f t="shared" si="17"/>
        <v>decimal?</v>
      </c>
      <c r="I41" s="1" t="str">
        <f t="shared" si="8"/>
        <v xml:space="preserve">///&lt;summary&gt;
///
///&lt;/summary&gt;
public decimal?  {get; set;}
</v>
      </c>
      <c r="J41" s="1" t="str">
        <f t="shared" si="2"/>
        <v xml:space="preserve"> AND t1. = @</v>
      </c>
      <c r="K41" s="1" t="str">
        <f t="shared" si="3"/>
        <v>t1.        AS ,</v>
      </c>
      <c r="L41" s="1" t="str">
        <f t="shared" si="4"/>
        <v>,</v>
      </c>
      <c r="M41" s="1" t="str">
        <f t="shared" si="5"/>
        <v>,@</v>
      </c>
      <c r="N41" s="1" t="str">
        <f t="shared" si="6"/>
        <v xml:space="preserve"> = @, </v>
      </c>
      <c r="O41" s="1" t="str">
        <f t="shared" si="9"/>
        <v>error += ExcelUtil.CheckValue(excelVo..ToString()  , "", false, (null, null, ), (false, false, true), (false, false));</v>
      </c>
      <c r="P41" s="1" t="str">
        <f t="shared" si="10"/>
        <v>excelVo. = StringUtil.IsNotEmpty(ExcelUtil.GetCell(sheet, i, j).ToString().TrimEnd())? ExcelUtil.GetCell(sheet, i, j).ToString().TrimEnd().ToUpper():"";j++;//</v>
      </c>
      <c r="Q41" s="1" t="str">
        <f t="shared" si="11"/>
        <v>ExcelUtil.SetContent(sheet, row, column++, (string)item[""]);</v>
      </c>
      <c r="R41" s="1" t="str">
        <f t="shared" si="12"/>
        <v>paramDt.Add("@" ,  );//DECIMAL</v>
      </c>
      <c r="S41" s="1" t="str">
        <f t="shared" si="13"/>
        <v>paramDt.Add("@" , master. );//</v>
      </c>
      <c r="T41" s="1" t="str">
        <f t="shared" si="18"/>
        <v>{ name: '' , sort: '' },</v>
      </c>
      <c r="U41" s="1" t="str">
        <f t="shared" si="15"/>
        <v>"":"",</v>
      </c>
      <c r="V41" s="1" t="str">
        <f t="shared" si="16"/>
        <v>this.vo. = 0 ; //</v>
      </c>
    </row>
    <row r="42" spans="1:22" x14ac:dyDescent="0.4">
      <c r="A42" s="1" t="s">
        <v>63</v>
      </c>
      <c r="D42" s="1" t="s">
        <v>6</v>
      </c>
      <c r="H42" s="1" t="str">
        <f t="shared" si="17"/>
        <v>decimal?</v>
      </c>
      <c r="I42" s="1" t="str">
        <f t="shared" si="8"/>
        <v xml:space="preserve">///&lt;summary&gt;
///
///&lt;/summary&gt;
public decimal?  {get; set;}
</v>
      </c>
      <c r="J42" s="1" t="str">
        <f t="shared" si="2"/>
        <v xml:space="preserve"> AND t1. = @</v>
      </c>
      <c r="K42" s="1" t="str">
        <f t="shared" si="3"/>
        <v>t1.        AS ,</v>
      </c>
      <c r="L42" s="1" t="str">
        <f t="shared" si="4"/>
        <v>,</v>
      </c>
      <c r="M42" s="1" t="str">
        <f t="shared" si="5"/>
        <v>,@</v>
      </c>
      <c r="N42" s="1" t="str">
        <f t="shared" si="6"/>
        <v xml:space="preserve"> = @, </v>
      </c>
      <c r="O42" s="1" t="str">
        <f t="shared" si="9"/>
        <v>error += ExcelUtil.CheckValue(excelVo..ToString()  , "", false, (null, null, ), (false, false, true), (false, false));</v>
      </c>
      <c r="P42" s="1" t="str">
        <f t="shared" si="10"/>
        <v>excelVo. = StringUtil.IsNotEmpty(ExcelUtil.GetCell(sheet, i, j).ToString().TrimEnd())? ExcelUtil.GetCell(sheet, i, j).ToString().TrimEnd().ToUpper():"";j++;//</v>
      </c>
      <c r="Q42" s="1" t="str">
        <f t="shared" si="11"/>
        <v>ExcelUtil.SetContent(sheet, row, column++, (string)item[""]);</v>
      </c>
      <c r="R42" s="1" t="str">
        <f t="shared" si="12"/>
        <v>paramDt.Add("@" ,  );//DECIMAL</v>
      </c>
      <c r="S42" s="1" t="str">
        <f t="shared" si="13"/>
        <v>paramDt.Add("@" , master. );//</v>
      </c>
      <c r="T42" s="1" t="str">
        <f t="shared" si="18"/>
        <v>{ name: '' , sort: '' },</v>
      </c>
      <c r="U42" s="1" t="str">
        <f t="shared" si="15"/>
        <v>"":"",</v>
      </c>
      <c r="V42" s="1" t="str">
        <f t="shared" si="16"/>
        <v>this.vo. = 0 ; //</v>
      </c>
    </row>
    <row r="43" spans="1:22" x14ac:dyDescent="0.4">
      <c r="A43" s="1" t="s">
        <v>63</v>
      </c>
      <c r="D43" s="1" t="s">
        <v>5</v>
      </c>
      <c r="H43" s="1" t="str">
        <f t="shared" si="17"/>
        <v>string</v>
      </c>
      <c r="I43" s="1" t="str">
        <f t="shared" si="8"/>
        <v xml:space="preserve">///&lt;summary&gt;
///
///&lt;/summary&gt;
public string  {get; set;}
</v>
      </c>
      <c r="J43" s="1" t="str">
        <f t="shared" si="2"/>
        <v xml:space="preserve"> AND t1. = @</v>
      </c>
      <c r="K43" s="1" t="str">
        <f t="shared" si="3"/>
        <v>t1.        AS ,</v>
      </c>
      <c r="L43" s="1" t="str">
        <f t="shared" si="4"/>
        <v>,</v>
      </c>
      <c r="M43" s="1" t="str">
        <f t="shared" si="5"/>
        <v>,@</v>
      </c>
      <c r="N43" s="1" t="str">
        <f t="shared" si="6"/>
        <v xml:space="preserve"> = @, </v>
      </c>
      <c r="O43" s="1" t="str">
        <f t="shared" si="9"/>
        <v>error += ExcelUtil.CheckValue(excelVo. , "", false, (null, null, ), (true, false, false), (false, false));</v>
      </c>
      <c r="P43" s="1" t="str">
        <f t="shared" si="10"/>
        <v>excelVo. = StringUtil.IsNotEmpty(ExcelUtil.GetCell(sheet, i, j).ToString().TrimEnd())? ExcelUtil.GetCell(sheet, i, j).ToString().TrimEnd().ToUpper():"";j++;//</v>
      </c>
      <c r="Q43" s="1" t="str">
        <f t="shared" si="11"/>
        <v>ExcelUtil.SetContent(sheet, row, column++, (string)item[""]);</v>
      </c>
      <c r="R43" s="1" t="str">
        <f t="shared" si="12"/>
        <v>paramDt.Add("@" ,  );//VARCHAR</v>
      </c>
      <c r="S43" s="1" t="str">
        <f t="shared" si="13"/>
        <v>paramDt.Add("@" , master. );//</v>
      </c>
      <c r="T43" s="1" t="str">
        <f t="shared" si="18"/>
        <v>{ name: '' , sort: '' },</v>
      </c>
      <c r="U43" s="1" t="str">
        <f t="shared" si="15"/>
        <v>"":"",</v>
      </c>
      <c r="V43" s="1" t="str">
        <f t="shared" si="16"/>
        <v>this.vo. = '' ; //</v>
      </c>
    </row>
    <row r="44" spans="1:22" x14ac:dyDescent="0.4">
      <c r="A44" s="1" t="s">
        <v>63</v>
      </c>
      <c r="D44" s="1" t="s">
        <v>5</v>
      </c>
      <c r="H44" s="1" t="str">
        <f t="shared" si="17"/>
        <v>string</v>
      </c>
      <c r="I44" s="1" t="str">
        <f t="shared" si="8"/>
        <v xml:space="preserve">///&lt;summary&gt;
///
///&lt;/summary&gt;
public string  {get; set;}
</v>
      </c>
      <c r="J44" s="1" t="str">
        <f t="shared" si="2"/>
        <v xml:space="preserve"> AND t1. = @</v>
      </c>
      <c r="K44" s="1" t="str">
        <f t="shared" si="3"/>
        <v>t1.        AS ,</v>
      </c>
      <c r="L44" s="1" t="str">
        <f t="shared" si="4"/>
        <v>,</v>
      </c>
      <c r="M44" s="1" t="str">
        <f t="shared" si="5"/>
        <v>,@</v>
      </c>
      <c r="N44" s="1" t="str">
        <f t="shared" si="6"/>
        <v xml:space="preserve"> = @, </v>
      </c>
      <c r="O44" s="1" t="str">
        <f t="shared" si="9"/>
        <v>error += ExcelUtil.CheckValue(excelVo. , "", false, (null, null, ), (true, false, false), (false, false));</v>
      </c>
      <c r="P44" s="1" t="str">
        <f t="shared" si="10"/>
        <v>excelVo. = StringUtil.IsNotEmpty(ExcelUtil.GetCell(sheet, i, j).ToString().TrimEnd())? ExcelUtil.GetCell(sheet, i, j).ToString().TrimEnd().ToUpper():"";j++;//</v>
      </c>
      <c r="Q44" s="1" t="str">
        <f t="shared" si="11"/>
        <v>ExcelUtil.SetContent(sheet, row, column++, (string)item[""]);</v>
      </c>
      <c r="R44" s="1" t="str">
        <f t="shared" si="12"/>
        <v>paramDt.Add("@" ,  );//VARCHAR</v>
      </c>
      <c r="S44" s="1" t="str">
        <f t="shared" si="13"/>
        <v>paramDt.Add("@" , master. );//</v>
      </c>
      <c r="T44" s="1" t="str">
        <f t="shared" si="18"/>
        <v>{ name: '' , sort: '' },</v>
      </c>
      <c r="U44" s="1" t="str">
        <f t="shared" si="15"/>
        <v>"":"",</v>
      </c>
      <c r="V44" s="1" t="str">
        <f t="shared" si="16"/>
        <v>this.vo. = '' ; //</v>
      </c>
    </row>
    <row r="45" spans="1:22" x14ac:dyDescent="0.4">
      <c r="A45" s="1" t="s">
        <v>63</v>
      </c>
      <c r="D45" s="1" t="s">
        <v>5</v>
      </c>
      <c r="H45" s="1" t="str">
        <f t="shared" si="17"/>
        <v>string</v>
      </c>
      <c r="I45" s="1" t="str">
        <f t="shared" si="8"/>
        <v xml:space="preserve">///&lt;summary&gt;
///
///&lt;/summary&gt;
public string  {get; set;}
</v>
      </c>
      <c r="J45" s="1" t="str">
        <f t="shared" si="2"/>
        <v xml:space="preserve"> AND t1. = @</v>
      </c>
      <c r="K45" s="1" t="str">
        <f t="shared" si="3"/>
        <v>t1.        AS ,</v>
      </c>
      <c r="L45" s="1" t="str">
        <f t="shared" si="4"/>
        <v>,</v>
      </c>
      <c r="M45" s="1" t="str">
        <f t="shared" si="5"/>
        <v>,@</v>
      </c>
      <c r="N45" s="1" t="str">
        <f t="shared" si="6"/>
        <v xml:space="preserve"> = @, </v>
      </c>
      <c r="O45" s="1" t="str">
        <f t="shared" si="9"/>
        <v>error += ExcelUtil.CheckValue(excelVo. , "", false, (null, null, ), (true, false, false), (false, false));</v>
      </c>
      <c r="P45" s="1" t="str">
        <f t="shared" si="10"/>
        <v>excelVo. = StringUtil.IsNotEmpty(ExcelUtil.GetCell(sheet, i, j).ToString().TrimEnd())? ExcelUtil.GetCell(sheet, i, j).ToString().TrimEnd().ToUpper():"";j++;//</v>
      </c>
      <c r="Q45" s="1" t="str">
        <f t="shared" si="11"/>
        <v>ExcelUtil.SetContent(sheet, row, column++, (string)item[""]);</v>
      </c>
      <c r="R45" s="1" t="str">
        <f t="shared" si="12"/>
        <v>paramDt.Add("@" ,  );//VARCHAR</v>
      </c>
      <c r="S45" s="1" t="str">
        <f t="shared" si="13"/>
        <v>paramDt.Add("@" , master. );//</v>
      </c>
      <c r="T45" s="1" t="str">
        <f t="shared" si="18"/>
        <v>{ name: '' , sort: '' },</v>
      </c>
      <c r="U45" s="1" t="str">
        <f t="shared" si="15"/>
        <v>"":"",</v>
      </c>
      <c r="V45" s="1" t="str">
        <f t="shared" si="16"/>
        <v>this.vo. = '' ; //</v>
      </c>
    </row>
    <row r="46" spans="1:22" x14ac:dyDescent="0.4">
      <c r="A46" s="1" t="s">
        <v>63</v>
      </c>
      <c r="D46" s="1" t="s">
        <v>5</v>
      </c>
      <c r="H46" s="1" t="str">
        <f t="shared" si="17"/>
        <v>string</v>
      </c>
      <c r="I46" s="1" t="str">
        <f t="shared" si="8"/>
        <v xml:space="preserve">///&lt;summary&gt;
///
///&lt;/summary&gt;
public string  {get; set;}
</v>
      </c>
      <c r="J46" s="1" t="str">
        <f t="shared" si="2"/>
        <v xml:space="preserve"> AND t1. = @</v>
      </c>
      <c r="K46" s="1" t="str">
        <f t="shared" si="3"/>
        <v>t1.        AS ,</v>
      </c>
      <c r="L46" s="1" t="str">
        <f t="shared" si="4"/>
        <v>,</v>
      </c>
      <c r="M46" s="1" t="str">
        <f t="shared" si="5"/>
        <v>,@</v>
      </c>
      <c r="N46" s="1" t="str">
        <f t="shared" si="6"/>
        <v xml:space="preserve"> = @, </v>
      </c>
      <c r="O46" s="1" t="str">
        <f t="shared" si="9"/>
        <v>error += ExcelUtil.CheckValue(excelVo. , "", false, (null, null, ), (true, false, false), (false, false));</v>
      </c>
      <c r="P46" s="1" t="str">
        <f t="shared" si="10"/>
        <v>excelVo. = StringUtil.IsNotEmpty(ExcelUtil.GetCell(sheet, i, j).ToString().TrimEnd())? ExcelUtil.GetCell(sheet, i, j).ToString().TrimEnd().ToUpper():"";j++;//</v>
      </c>
      <c r="Q46" s="1" t="str">
        <f t="shared" si="11"/>
        <v>ExcelUtil.SetContent(sheet, row, column++, (string)item[""]);</v>
      </c>
      <c r="R46" s="1" t="str">
        <f t="shared" si="12"/>
        <v>paramDt.Add("@" ,  );//VARCHAR</v>
      </c>
      <c r="S46" s="1" t="str">
        <f t="shared" si="13"/>
        <v>paramDt.Add("@" , master. );//</v>
      </c>
      <c r="T46" s="1" t="str">
        <f t="shared" si="18"/>
        <v>{ name: '' , sort: '' },</v>
      </c>
      <c r="U46" s="1" t="str">
        <f t="shared" si="15"/>
        <v>"":"",</v>
      </c>
      <c r="V46" s="1" t="str">
        <f t="shared" si="16"/>
        <v>this.vo. = '' ; //</v>
      </c>
    </row>
    <row r="47" spans="1:22" x14ac:dyDescent="0.4">
      <c r="A47" s="1" t="s">
        <v>63</v>
      </c>
      <c r="D47" s="1" t="s">
        <v>6</v>
      </c>
      <c r="H47" s="1" t="str">
        <f t="shared" si="17"/>
        <v>decimal?</v>
      </c>
      <c r="I47" s="1" t="str">
        <f t="shared" si="8"/>
        <v xml:space="preserve">///&lt;summary&gt;
///
///&lt;/summary&gt;
public decimal?  {get; set;}
</v>
      </c>
      <c r="J47" s="1" t="str">
        <f t="shared" si="2"/>
        <v xml:space="preserve"> AND t1. = @</v>
      </c>
      <c r="K47" s="1" t="str">
        <f t="shared" si="3"/>
        <v>t1.        AS ,</v>
      </c>
      <c r="L47" s="1" t="str">
        <f t="shared" si="4"/>
        <v>,</v>
      </c>
      <c r="M47" s="1" t="str">
        <f t="shared" si="5"/>
        <v>,@</v>
      </c>
      <c r="N47" s="1" t="str">
        <f t="shared" si="6"/>
        <v xml:space="preserve"> = @, </v>
      </c>
      <c r="O47" s="1" t="str">
        <f t="shared" si="9"/>
        <v>error += ExcelUtil.CheckValue(excelVo..ToString()  , "", false, (null, null, ), (false, false, true), (false, false));</v>
      </c>
      <c r="P47" s="1" t="str">
        <f t="shared" si="10"/>
        <v>excelVo. = StringUtil.IsNotEmpty(ExcelUtil.GetCell(sheet, i, j).ToString().TrimEnd())? ExcelUtil.GetCell(sheet, i, j).ToString().TrimEnd().ToUpper():"";j++;//</v>
      </c>
      <c r="Q47" s="1" t="str">
        <f t="shared" si="11"/>
        <v>ExcelUtil.SetContent(sheet, row, column++, (string)item[""]);</v>
      </c>
      <c r="R47" s="1" t="str">
        <f t="shared" si="12"/>
        <v>paramDt.Add("@" ,  );//DECIMAL</v>
      </c>
      <c r="S47" s="1" t="str">
        <f t="shared" si="13"/>
        <v>paramDt.Add("@" , master. );//</v>
      </c>
      <c r="T47" s="1" t="str">
        <f t="shared" si="18"/>
        <v>{ name: '' , sort: '' },</v>
      </c>
      <c r="U47" s="1" t="str">
        <f t="shared" si="15"/>
        <v>"":"",</v>
      </c>
      <c r="V47" s="1" t="str">
        <f t="shared" si="16"/>
        <v>this.vo. = 0 ; //</v>
      </c>
    </row>
    <row r="48" spans="1:22" x14ac:dyDescent="0.4">
      <c r="A48" s="1" t="s">
        <v>63</v>
      </c>
      <c r="D48" s="1" t="s">
        <v>6</v>
      </c>
      <c r="H48" s="1" t="str">
        <f t="shared" si="17"/>
        <v>decimal?</v>
      </c>
      <c r="I48" s="1" t="str">
        <f t="shared" si="8"/>
        <v xml:space="preserve">///&lt;summary&gt;
///
///&lt;/summary&gt;
public decimal?  {get; set;}
</v>
      </c>
      <c r="J48" s="1" t="str">
        <f t="shared" si="2"/>
        <v xml:space="preserve"> AND t1. = @</v>
      </c>
      <c r="K48" s="1" t="str">
        <f t="shared" si="3"/>
        <v>t1.        AS ,</v>
      </c>
      <c r="L48" s="1" t="str">
        <f t="shared" si="4"/>
        <v>,</v>
      </c>
      <c r="M48" s="1" t="str">
        <f t="shared" si="5"/>
        <v>,@</v>
      </c>
      <c r="N48" s="1" t="str">
        <f t="shared" si="6"/>
        <v xml:space="preserve"> = @, </v>
      </c>
      <c r="O48" s="1" t="str">
        <f t="shared" si="9"/>
        <v>error += ExcelUtil.CheckValue(excelVo..ToString()  , "", false, (null, null, ), (false, false, true), (false, false));</v>
      </c>
      <c r="P48" s="1" t="str">
        <f t="shared" si="10"/>
        <v>excelVo. = StringUtil.IsNotEmpty(ExcelUtil.GetCell(sheet, i, j).ToString().TrimEnd())? ExcelUtil.GetCell(sheet, i, j).ToString().TrimEnd().ToUpper():"";j++;//</v>
      </c>
      <c r="Q48" s="1" t="str">
        <f t="shared" si="11"/>
        <v>ExcelUtil.SetContent(sheet, row, column++, (string)item[""]);</v>
      </c>
      <c r="R48" s="1" t="str">
        <f t="shared" si="12"/>
        <v>paramDt.Add("@" ,  );//DECIMAL</v>
      </c>
      <c r="S48" s="1" t="str">
        <f t="shared" si="13"/>
        <v>paramDt.Add("@" , master. );//</v>
      </c>
      <c r="T48" s="1" t="str">
        <f t="shared" si="18"/>
        <v>{ name: '' , sort: '' },</v>
      </c>
      <c r="U48" s="1" t="str">
        <f t="shared" si="15"/>
        <v>"":"",</v>
      </c>
      <c r="V48" s="1" t="str">
        <f t="shared" si="16"/>
        <v>this.vo. = 0 ; //</v>
      </c>
    </row>
    <row r="49" spans="1:22" x14ac:dyDescent="0.4">
      <c r="A49" s="1" t="s">
        <v>63</v>
      </c>
      <c r="D49" s="1" t="s">
        <v>6</v>
      </c>
      <c r="H49" s="1" t="str">
        <f t="shared" si="17"/>
        <v>decimal?</v>
      </c>
      <c r="I49" s="1" t="str">
        <f t="shared" si="8"/>
        <v xml:space="preserve">///&lt;summary&gt;
///
///&lt;/summary&gt;
public decimal?  {get; set;}
</v>
      </c>
      <c r="J49" s="1" t="str">
        <f t="shared" si="2"/>
        <v xml:space="preserve"> AND t1. = @</v>
      </c>
      <c r="K49" s="1" t="str">
        <f t="shared" si="3"/>
        <v>t1.        AS ,</v>
      </c>
      <c r="L49" s="1" t="str">
        <f t="shared" si="4"/>
        <v>,</v>
      </c>
      <c r="M49" s="1" t="str">
        <f t="shared" si="5"/>
        <v>,@</v>
      </c>
      <c r="N49" s="1" t="str">
        <f t="shared" si="6"/>
        <v xml:space="preserve"> = @, </v>
      </c>
      <c r="O49" s="1" t="str">
        <f t="shared" si="9"/>
        <v>error += ExcelUtil.CheckValue(excelVo..ToString()  , "", false, (null, null, ), (false, false, true), (false, false));</v>
      </c>
      <c r="P49" s="1" t="str">
        <f t="shared" si="10"/>
        <v>excelVo. = StringUtil.IsNotEmpty(ExcelUtil.GetCell(sheet, i, j).ToString().TrimEnd())? ExcelUtil.GetCell(sheet, i, j).ToString().TrimEnd().ToUpper():"";j++;//</v>
      </c>
      <c r="Q49" s="1" t="str">
        <f t="shared" si="11"/>
        <v>ExcelUtil.SetContent(sheet, row, column++, (string)item[""]);</v>
      </c>
      <c r="R49" s="1" t="str">
        <f t="shared" si="12"/>
        <v>paramDt.Add("@" ,  );//DECIMAL</v>
      </c>
      <c r="S49" s="1" t="str">
        <f t="shared" si="13"/>
        <v>paramDt.Add("@" , master. );//</v>
      </c>
      <c r="T49" s="1" t="str">
        <f t="shared" si="18"/>
        <v>{ name: '' , sort: '' },</v>
      </c>
      <c r="U49" s="1" t="str">
        <f t="shared" si="15"/>
        <v>"":"",</v>
      </c>
      <c r="V49" s="1" t="str">
        <f t="shared" si="16"/>
        <v>this.vo. = 0 ; //</v>
      </c>
    </row>
    <row r="50" spans="1:22" x14ac:dyDescent="0.4">
      <c r="A50" s="1" t="s">
        <v>63</v>
      </c>
      <c r="D50" s="1" t="s">
        <v>6</v>
      </c>
      <c r="H50" s="1" t="str">
        <f t="shared" si="17"/>
        <v>decimal?</v>
      </c>
      <c r="I50" s="1" t="str">
        <f t="shared" si="8"/>
        <v xml:space="preserve">///&lt;summary&gt;
///
///&lt;/summary&gt;
public decimal?  {get; set;}
</v>
      </c>
      <c r="J50" s="1" t="str">
        <f t="shared" si="2"/>
        <v xml:space="preserve"> AND t1. = @</v>
      </c>
      <c r="K50" s="1" t="str">
        <f t="shared" si="3"/>
        <v>t1.        AS ,</v>
      </c>
      <c r="L50" s="1" t="str">
        <f t="shared" si="4"/>
        <v>,</v>
      </c>
      <c r="M50" s="1" t="str">
        <f t="shared" si="5"/>
        <v>,@</v>
      </c>
      <c r="N50" s="1" t="str">
        <f t="shared" si="6"/>
        <v xml:space="preserve"> = @, </v>
      </c>
      <c r="O50" s="1" t="str">
        <f t="shared" si="9"/>
        <v>error += ExcelUtil.CheckValue(excelVo..ToString()  , "", false, (null, null, ), (false, false, true), (false, false));</v>
      </c>
      <c r="P50" s="1" t="str">
        <f t="shared" si="10"/>
        <v>excelVo. = StringUtil.IsNotEmpty(ExcelUtil.GetCell(sheet, i, j).ToString().TrimEnd())? ExcelUtil.GetCell(sheet, i, j).ToString().TrimEnd().ToUpper():"";j++;//</v>
      </c>
      <c r="Q50" s="1" t="str">
        <f t="shared" si="11"/>
        <v>ExcelUtil.SetContent(sheet, row, column++, (string)item[""]);</v>
      </c>
      <c r="R50" s="1" t="str">
        <f t="shared" si="12"/>
        <v>paramDt.Add("@" ,  );//DECIMAL</v>
      </c>
      <c r="S50" s="1" t="str">
        <f t="shared" si="13"/>
        <v>paramDt.Add("@" , master. );//</v>
      </c>
      <c r="T50" s="1" t="str">
        <f t="shared" si="18"/>
        <v>{ name: '' , sort: '' },</v>
      </c>
      <c r="U50" s="1" t="str">
        <f t="shared" si="15"/>
        <v>"":"",</v>
      </c>
      <c r="V50" s="1" t="str">
        <f t="shared" si="16"/>
        <v>this.vo. = 0 ; //</v>
      </c>
    </row>
    <row r="51" spans="1:22" x14ac:dyDescent="0.4">
      <c r="A51" s="1" t="s">
        <v>63</v>
      </c>
      <c r="D51" s="1" t="s">
        <v>6</v>
      </c>
      <c r="H51" s="1" t="str">
        <f t="shared" si="17"/>
        <v>decimal?</v>
      </c>
      <c r="I51" s="1" t="str">
        <f t="shared" si="8"/>
        <v xml:space="preserve">///&lt;summary&gt;
///
///&lt;/summary&gt;
public decimal?  {get; set;}
</v>
      </c>
      <c r="J51" s="1" t="str">
        <f t="shared" si="2"/>
        <v xml:space="preserve"> AND t1. = @</v>
      </c>
      <c r="K51" s="1" t="str">
        <f t="shared" si="3"/>
        <v>t1.        AS ,</v>
      </c>
      <c r="L51" s="1" t="str">
        <f t="shared" si="4"/>
        <v>,</v>
      </c>
      <c r="M51" s="1" t="str">
        <f t="shared" si="5"/>
        <v>,@</v>
      </c>
      <c r="N51" s="1" t="str">
        <f t="shared" si="6"/>
        <v xml:space="preserve"> = @, </v>
      </c>
      <c r="O51" s="1" t="str">
        <f t="shared" si="9"/>
        <v>error += ExcelUtil.CheckValue(excelVo..ToString()  , "", false, (null, null, ), (false, false, true), (false, false));</v>
      </c>
      <c r="P51" s="1" t="str">
        <f t="shared" si="10"/>
        <v>excelVo. = StringUtil.IsNotEmpty(ExcelUtil.GetCell(sheet, i, j).ToString().TrimEnd())? ExcelUtil.GetCell(sheet, i, j).ToString().TrimEnd().ToUpper():"";j++;//</v>
      </c>
      <c r="Q51" s="1" t="str">
        <f t="shared" si="11"/>
        <v>ExcelUtil.SetContent(sheet, row, column++, (string)item[""]);</v>
      </c>
      <c r="R51" s="1" t="str">
        <f t="shared" si="12"/>
        <v>paramDt.Add("@" ,  );//DECIMAL</v>
      </c>
      <c r="S51" s="1" t="str">
        <f t="shared" si="13"/>
        <v>paramDt.Add("@" , master. );//</v>
      </c>
      <c r="T51" s="1" t="str">
        <f t="shared" si="18"/>
        <v>{ name: '' , sort: '' },</v>
      </c>
      <c r="U51" s="1" t="str">
        <f t="shared" si="15"/>
        <v>"":"",</v>
      </c>
      <c r="V51" s="1" t="str">
        <f t="shared" si="16"/>
        <v>this.vo. = 0 ; //</v>
      </c>
    </row>
    <row r="52" spans="1:22" x14ac:dyDescent="0.4">
      <c r="A52" s="1" t="s">
        <v>63</v>
      </c>
      <c r="D52" s="1" t="s">
        <v>6</v>
      </c>
      <c r="H52" s="1" t="str">
        <f t="shared" si="17"/>
        <v>decimal?</v>
      </c>
      <c r="I52" s="1" t="str">
        <f t="shared" si="8"/>
        <v xml:space="preserve">///&lt;summary&gt;
///
///&lt;/summary&gt;
public decimal?  {get; set;}
</v>
      </c>
      <c r="J52" s="1" t="str">
        <f t="shared" si="2"/>
        <v xml:space="preserve"> AND t1. = @</v>
      </c>
      <c r="K52" s="1" t="str">
        <f t="shared" si="3"/>
        <v>t1.        AS ,</v>
      </c>
      <c r="L52" s="1" t="str">
        <f t="shared" si="4"/>
        <v>,</v>
      </c>
      <c r="M52" s="1" t="str">
        <f t="shared" si="5"/>
        <v>,@</v>
      </c>
      <c r="N52" s="1" t="str">
        <f t="shared" si="6"/>
        <v xml:space="preserve"> = @, </v>
      </c>
      <c r="O52" s="1" t="str">
        <f t="shared" si="9"/>
        <v>error += ExcelUtil.CheckValue(excelVo..ToString()  , "", false, (null, null, ), (false, false, true), (false, false));</v>
      </c>
      <c r="P52" s="1" t="str">
        <f t="shared" si="10"/>
        <v>excelVo. = StringUtil.IsNotEmpty(ExcelUtil.GetCell(sheet, i, j).ToString().TrimEnd())? ExcelUtil.GetCell(sheet, i, j).ToString().TrimEnd().ToUpper():"";j++;//</v>
      </c>
      <c r="Q52" s="1" t="str">
        <f t="shared" si="11"/>
        <v>ExcelUtil.SetContent(sheet, row, column++, (string)item[""]);</v>
      </c>
      <c r="R52" s="1" t="str">
        <f t="shared" si="12"/>
        <v>paramDt.Add("@" ,  );//DECIMAL</v>
      </c>
      <c r="S52" s="1" t="str">
        <f t="shared" si="13"/>
        <v>paramDt.Add("@" , master. );//</v>
      </c>
      <c r="T52" s="1" t="str">
        <f t="shared" si="18"/>
        <v>{ name: '' , sort: '' },</v>
      </c>
      <c r="U52" s="1" t="str">
        <f t="shared" si="15"/>
        <v>"":"",</v>
      </c>
      <c r="V52" s="1" t="str">
        <f t="shared" si="16"/>
        <v>this.vo. = 0 ; //</v>
      </c>
    </row>
    <row r="53" spans="1:22" x14ac:dyDescent="0.4">
      <c r="A53" s="1" t="s">
        <v>63</v>
      </c>
      <c r="D53" s="1" t="s">
        <v>6</v>
      </c>
      <c r="H53" s="1" t="str">
        <f t="shared" si="17"/>
        <v>decimal?</v>
      </c>
      <c r="I53" s="1" t="str">
        <f t="shared" si="8"/>
        <v xml:space="preserve">///&lt;summary&gt;
///
///&lt;/summary&gt;
public decimal?  {get; set;}
</v>
      </c>
      <c r="J53" s="1" t="str">
        <f t="shared" si="2"/>
        <v xml:space="preserve"> AND t1. = @</v>
      </c>
      <c r="K53" s="1" t="str">
        <f t="shared" si="3"/>
        <v>t1.        AS ,</v>
      </c>
      <c r="L53" s="1" t="str">
        <f t="shared" si="4"/>
        <v>,</v>
      </c>
      <c r="M53" s="1" t="str">
        <f t="shared" si="5"/>
        <v>,@</v>
      </c>
      <c r="N53" s="1" t="str">
        <f t="shared" si="6"/>
        <v xml:space="preserve"> = @, </v>
      </c>
      <c r="O53" s="1" t="str">
        <f t="shared" si="9"/>
        <v>error += ExcelUtil.CheckValue(excelVo..ToString()  , "", false, (null, null, ), (false, false, true), (false, false));</v>
      </c>
      <c r="P53" s="1" t="str">
        <f t="shared" si="10"/>
        <v>excelVo. = StringUtil.IsNotEmpty(ExcelUtil.GetCell(sheet, i, j).ToString().TrimEnd())? ExcelUtil.GetCell(sheet, i, j).ToString().TrimEnd().ToUpper():"";j++;//</v>
      </c>
      <c r="Q53" s="1" t="str">
        <f t="shared" si="11"/>
        <v>ExcelUtil.SetContent(sheet, row, column++, (string)item[""]);</v>
      </c>
      <c r="R53" s="1" t="str">
        <f t="shared" si="12"/>
        <v>paramDt.Add("@" ,  );//DECIMAL</v>
      </c>
      <c r="S53" s="1" t="str">
        <f t="shared" si="13"/>
        <v>paramDt.Add("@" , master. );//</v>
      </c>
      <c r="T53" s="1" t="str">
        <f t="shared" si="18"/>
        <v>{ name: '' , sort: '' },</v>
      </c>
      <c r="U53" s="1" t="str">
        <f t="shared" si="15"/>
        <v>"":"",</v>
      </c>
      <c r="V53" s="1" t="str">
        <f t="shared" si="16"/>
        <v>this.vo. = 0 ; //</v>
      </c>
    </row>
    <row r="54" spans="1:22" x14ac:dyDescent="0.4">
      <c r="A54" s="1" t="s">
        <v>63</v>
      </c>
      <c r="D54" s="1" t="s">
        <v>6</v>
      </c>
      <c r="H54" s="1" t="str">
        <f t="shared" si="17"/>
        <v>decimal?</v>
      </c>
      <c r="I54" s="1" t="str">
        <f t="shared" si="8"/>
        <v xml:space="preserve">///&lt;summary&gt;
///
///&lt;/summary&gt;
public decimal?  {get; set;}
</v>
      </c>
      <c r="J54" s="1" t="str">
        <f t="shared" si="2"/>
        <v xml:space="preserve"> AND t1. = @</v>
      </c>
      <c r="K54" s="1" t="str">
        <f t="shared" si="3"/>
        <v>t1.        AS ,</v>
      </c>
      <c r="L54" s="1" t="str">
        <f t="shared" si="4"/>
        <v>,</v>
      </c>
      <c r="M54" s="1" t="str">
        <f t="shared" si="5"/>
        <v>,@</v>
      </c>
      <c r="N54" s="1" t="str">
        <f t="shared" si="6"/>
        <v xml:space="preserve"> = @, </v>
      </c>
      <c r="O54" s="1" t="str">
        <f t="shared" si="9"/>
        <v>error += ExcelUtil.CheckValue(excelVo..ToString()  , "", false, (null, null, ), (false, false, true), (false, false));</v>
      </c>
      <c r="P54" s="1" t="str">
        <f t="shared" si="10"/>
        <v>excelVo. = StringUtil.IsNotEmpty(ExcelUtil.GetCell(sheet, i, j).ToString().TrimEnd())? ExcelUtil.GetCell(sheet, i, j).ToString().TrimEnd().ToUpper():"";j++;//</v>
      </c>
      <c r="Q54" s="1" t="str">
        <f t="shared" si="11"/>
        <v>ExcelUtil.SetContent(sheet, row, column++, (string)item[""]);</v>
      </c>
      <c r="R54" s="1" t="str">
        <f t="shared" si="12"/>
        <v>paramDt.Add("@" ,  );//DECIMAL</v>
      </c>
      <c r="S54" s="1" t="str">
        <f t="shared" si="13"/>
        <v>paramDt.Add("@" , master. );//</v>
      </c>
      <c r="T54" s="1" t="str">
        <f t="shared" si="18"/>
        <v>{ name: '' , sort: '' },</v>
      </c>
      <c r="U54" s="1" t="str">
        <f t="shared" si="15"/>
        <v>"":"",</v>
      </c>
      <c r="V54" s="1" t="str">
        <f t="shared" si="16"/>
        <v>this.vo. = 0 ; //</v>
      </c>
    </row>
    <row r="55" spans="1:22" x14ac:dyDescent="0.4">
      <c r="A55" s="1" t="s">
        <v>63</v>
      </c>
      <c r="D55" s="1" t="s">
        <v>6</v>
      </c>
      <c r="H55" s="1" t="str">
        <f t="shared" si="17"/>
        <v>decimal?</v>
      </c>
      <c r="I55" s="1" t="str">
        <f t="shared" si="8"/>
        <v xml:space="preserve">///&lt;summary&gt;
///
///&lt;/summary&gt;
public decimal?  {get; set;}
</v>
      </c>
      <c r="J55" s="1" t="str">
        <f t="shared" si="2"/>
        <v xml:space="preserve"> AND t1. = @</v>
      </c>
      <c r="K55" s="1" t="str">
        <f t="shared" si="3"/>
        <v>t1.        AS ,</v>
      </c>
      <c r="L55" s="1" t="str">
        <f t="shared" si="4"/>
        <v>,</v>
      </c>
      <c r="M55" s="1" t="str">
        <f t="shared" si="5"/>
        <v>,@</v>
      </c>
      <c r="N55" s="1" t="str">
        <f t="shared" si="6"/>
        <v xml:space="preserve"> = @, </v>
      </c>
      <c r="O55" s="1" t="str">
        <f t="shared" si="9"/>
        <v>error += ExcelUtil.CheckValue(excelVo..ToString()  , "", false, (null, null, ), (false, false, true), (false, false));</v>
      </c>
      <c r="P55" s="1" t="str">
        <f t="shared" si="10"/>
        <v>excelVo. = StringUtil.IsNotEmpty(ExcelUtil.GetCell(sheet, i, j).ToString().TrimEnd())? ExcelUtil.GetCell(sheet, i, j).ToString().TrimEnd().ToUpper():"";j++;//</v>
      </c>
      <c r="Q55" s="1" t="str">
        <f t="shared" si="11"/>
        <v>ExcelUtil.SetContent(sheet, row, column++, (string)item[""]);</v>
      </c>
      <c r="R55" s="1" t="str">
        <f t="shared" si="12"/>
        <v>paramDt.Add("@" ,  );//DECIMAL</v>
      </c>
      <c r="S55" s="1" t="str">
        <f t="shared" si="13"/>
        <v>paramDt.Add("@" , master. );//</v>
      </c>
      <c r="T55" s="1" t="str">
        <f t="shared" si="18"/>
        <v>{ name: '' , sort: '' },</v>
      </c>
      <c r="U55" s="1" t="str">
        <f t="shared" si="15"/>
        <v>"":"",</v>
      </c>
      <c r="V55" s="1" t="str">
        <f t="shared" si="16"/>
        <v>this.vo. = 0 ; //</v>
      </c>
    </row>
    <row r="56" spans="1:22" x14ac:dyDescent="0.4">
      <c r="A56" s="1" t="s">
        <v>63</v>
      </c>
      <c r="D56" s="1" t="s">
        <v>6</v>
      </c>
      <c r="H56" s="1" t="str">
        <f t="shared" si="17"/>
        <v>decimal?</v>
      </c>
      <c r="I56" s="1" t="str">
        <f t="shared" si="8"/>
        <v xml:space="preserve">///&lt;summary&gt;
///
///&lt;/summary&gt;
public decimal?  {get; set;}
</v>
      </c>
      <c r="J56" s="1" t="str">
        <f t="shared" si="2"/>
        <v xml:space="preserve"> AND t1. = @</v>
      </c>
      <c r="K56" s="1" t="str">
        <f t="shared" si="3"/>
        <v>t1.        AS ,</v>
      </c>
      <c r="L56" s="1" t="str">
        <f t="shared" si="4"/>
        <v>,</v>
      </c>
      <c r="M56" s="1" t="str">
        <f t="shared" si="5"/>
        <v>,@</v>
      </c>
      <c r="N56" s="1" t="str">
        <f t="shared" si="6"/>
        <v xml:space="preserve"> = @, </v>
      </c>
      <c r="O56" s="1" t="str">
        <f t="shared" si="9"/>
        <v>error += ExcelUtil.CheckValue(excelVo..ToString()  , "", false, (null, null, ), (false, false, true), (false, false));</v>
      </c>
      <c r="P56" s="1" t="str">
        <f t="shared" si="10"/>
        <v>excelVo. = StringUtil.IsNotEmpty(ExcelUtil.GetCell(sheet, i, j).ToString().TrimEnd())? ExcelUtil.GetCell(sheet, i, j).ToString().TrimEnd().ToUpper():"";j++;//</v>
      </c>
      <c r="Q56" s="1" t="str">
        <f t="shared" si="11"/>
        <v>ExcelUtil.SetContent(sheet, row, column++, (string)item[""]);</v>
      </c>
      <c r="R56" s="1" t="str">
        <f t="shared" si="12"/>
        <v>paramDt.Add("@" ,  );//DECIMAL</v>
      </c>
      <c r="S56" s="1" t="str">
        <f t="shared" si="13"/>
        <v>paramDt.Add("@" , master. );//</v>
      </c>
      <c r="T56" s="1" t="str">
        <f t="shared" si="18"/>
        <v>{ name: '' , sort: '' },</v>
      </c>
      <c r="U56" s="1" t="str">
        <f t="shared" si="15"/>
        <v>"":"",</v>
      </c>
      <c r="V56" s="1" t="str">
        <f t="shared" si="16"/>
        <v>this.vo. = 0 ; //</v>
      </c>
    </row>
    <row r="57" spans="1:22" x14ac:dyDescent="0.4">
      <c r="A57" s="1" t="s">
        <v>63</v>
      </c>
      <c r="D57" s="1" t="s">
        <v>6</v>
      </c>
      <c r="H57" s="1" t="str">
        <f t="shared" si="17"/>
        <v>decimal?</v>
      </c>
      <c r="I57" s="1" t="str">
        <f t="shared" si="8"/>
        <v xml:space="preserve">///&lt;summary&gt;
///
///&lt;/summary&gt;
public decimal?  {get; set;}
</v>
      </c>
      <c r="J57" s="1" t="str">
        <f t="shared" si="2"/>
        <v xml:space="preserve"> AND t1. = @</v>
      </c>
      <c r="K57" s="1" t="str">
        <f t="shared" si="3"/>
        <v>t1.        AS ,</v>
      </c>
      <c r="L57" s="1" t="str">
        <f t="shared" si="4"/>
        <v>,</v>
      </c>
      <c r="M57" s="1" t="str">
        <f t="shared" si="5"/>
        <v>,@</v>
      </c>
      <c r="N57" s="1" t="str">
        <f t="shared" si="6"/>
        <v xml:space="preserve"> = @, </v>
      </c>
      <c r="O57" s="1" t="str">
        <f t="shared" si="9"/>
        <v>error += ExcelUtil.CheckValue(excelVo..ToString()  , "", false, (null, null, ), (false, false, true), (false, false));</v>
      </c>
      <c r="P57" s="1" t="str">
        <f t="shared" si="10"/>
        <v>excelVo. = StringUtil.IsNotEmpty(ExcelUtil.GetCell(sheet, i, j).ToString().TrimEnd())? ExcelUtil.GetCell(sheet, i, j).ToString().TrimEnd().ToUpper():"";j++;//</v>
      </c>
      <c r="Q57" s="1" t="str">
        <f t="shared" si="11"/>
        <v>ExcelUtil.SetContent(sheet, row, column++, (string)item[""]);</v>
      </c>
      <c r="R57" s="1" t="str">
        <f t="shared" si="12"/>
        <v>paramDt.Add("@" ,  );//DECIMAL</v>
      </c>
      <c r="S57" s="1" t="str">
        <f t="shared" si="13"/>
        <v>paramDt.Add("@" , master. );//</v>
      </c>
      <c r="T57" s="1" t="str">
        <f t="shared" si="18"/>
        <v>{ name: '' , sort: '' },</v>
      </c>
      <c r="U57" s="1" t="str">
        <f t="shared" si="15"/>
        <v>"":"",</v>
      </c>
      <c r="V57" s="1" t="str">
        <f t="shared" si="16"/>
        <v>this.vo. = 0 ; //</v>
      </c>
    </row>
    <row r="58" spans="1:22" x14ac:dyDescent="0.4">
      <c r="A58" s="1" t="s">
        <v>63</v>
      </c>
      <c r="D58" s="1" t="s">
        <v>6</v>
      </c>
      <c r="H58" s="1" t="str">
        <f t="shared" si="17"/>
        <v>decimal?</v>
      </c>
      <c r="I58" s="1" t="str">
        <f t="shared" si="8"/>
        <v xml:space="preserve">///&lt;summary&gt;
///
///&lt;/summary&gt;
public decimal?  {get; set;}
</v>
      </c>
      <c r="J58" s="1" t="str">
        <f t="shared" si="2"/>
        <v xml:space="preserve"> AND t1. = @</v>
      </c>
      <c r="K58" s="1" t="str">
        <f t="shared" si="3"/>
        <v>t1.        AS ,</v>
      </c>
      <c r="L58" s="1" t="str">
        <f t="shared" si="4"/>
        <v>,</v>
      </c>
      <c r="M58" s="1" t="str">
        <f t="shared" si="5"/>
        <v>,@</v>
      </c>
      <c r="N58" s="1" t="str">
        <f t="shared" si="6"/>
        <v xml:space="preserve"> = @, </v>
      </c>
      <c r="O58" s="1" t="str">
        <f t="shared" si="9"/>
        <v>error += ExcelUtil.CheckValue(excelVo..ToString()  , "", false, (null, null, ), (false, false, true), (false, false));</v>
      </c>
      <c r="P58" s="1" t="str">
        <f t="shared" si="10"/>
        <v>excelVo. = StringUtil.IsNotEmpty(ExcelUtil.GetCell(sheet, i, j).ToString().TrimEnd())? ExcelUtil.GetCell(sheet, i, j).ToString().TrimEnd().ToUpper():"";j++;//</v>
      </c>
      <c r="Q58" s="1" t="str">
        <f t="shared" si="11"/>
        <v>ExcelUtil.SetContent(sheet, row, column++, (string)item[""]);</v>
      </c>
      <c r="R58" s="1" t="str">
        <f t="shared" si="12"/>
        <v>paramDt.Add("@" ,  );//DECIMAL</v>
      </c>
      <c r="S58" s="1" t="str">
        <f t="shared" si="13"/>
        <v>paramDt.Add("@" , master. );//</v>
      </c>
      <c r="T58" s="1" t="str">
        <f t="shared" si="18"/>
        <v>{ name: '' , sort: '' },</v>
      </c>
      <c r="U58" s="1" t="str">
        <f t="shared" si="15"/>
        <v>"":"",</v>
      </c>
      <c r="V58" s="1" t="str">
        <f t="shared" si="16"/>
        <v>this.vo. = 0 ; //</v>
      </c>
    </row>
    <row r="59" spans="1:22" x14ac:dyDescent="0.4">
      <c r="A59" s="1" t="s">
        <v>63</v>
      </c>
      <c r="D59" s="1" t="s">
        <v>6</v>
      </c>
      <c r="I59" s="1" t="str">
        <f t="shared" ref="I59:I88" si="19">"///&lt;summary&gt;"&amp;CHAR(10)&amp;"///"&amp;TRIM(C59)&amp;CHAR(10)&amp;"///&lt;/summary&gt;"&amp;CHAR(10)&amp;"public "&amp;H59&amp;" " &amp;TRIM(C59)&amp;" {get; set;}"&amp;CHAR(10)</f>
        <v xml:space="preserve">///&lt;summary&gt;
///
///&lt;/summary&gt;
public   {get; set;}
</v>
      </c>
      <c r="J59" s="1" t="str">
        <f t="shared" si="2"/>
        <v xml:space="preserve"> AND t1. = @</v>
      </c>
      <c r="K59" s="1" t="str">
        <f t="shared" si="3"/>
        <v>t1.        AS ,</v>
      </c>
      <c r="L59" s="1" t="str">
        <f t="shared" si="4"/>
        <v>,</v>
      </c>
      <c r="M59" s="1" t="str">
        <f t="shared" si="5"/>
        <v>,@</v>
      </c>
      <c r="N59" s="1" t="str">
        <f t="shared" si="6"/>
        <v xml:space="preserve"> = @, </v>
      </c>
      <c r="O59" s="1" t="str">
        <f t="shared" si="9"/>
        <v>error += ExcelUtil.CheckValue(excelVo..ToString()  , "", false, (null, null, ), (false, false, true), (false, false));</v>
      </c>
      <c r="P59" s="1" t="str">
        <f t="shared" si="10"/>
        <v>excelVo. = StringUtil.IsNotEmpty(ExcelUtil.GetCell(sheet, i, j).ToString().TrimEnd())? ExcelUtil.GetCell(sheet, i, j).ToString().TrimEnd().ToUpper():"";j++;//</v>
      </c>
      <c r="Q59" s="1" t="str">
        <f t="shared" si="11"/>
        <v>ExcelUtil.SetContent(sheet, row, column++, (string)item[""]);</v>
      </c>
      <c r="R59" s="1" t="str">
        <f t="shared" si="12"/>
        <v>paramDt.Add("@" ,  );//DECIMAL</v>
      </c>
      <c r="S59" s="1" t="str">
        <f t="shared" si="13"/>
        <v>paramDt.Add("@" , master. );//</v>
      </c>
      <c r="T59" s="1" t="str">
        <f t="shared" si="18"/>
        <v>{ name: '' , sort: '' },</v>
      </c>
      <c r="U59" s="1" t="str">
        <f t="shared" si="15"/>
        <v>"":"",</v>
      </c>
      <c r="V59" s="1" t="str">
        <f t="shared" si="16"/>
        <v>this.vo. = 0 ; //</v>
      </c>
    </row>
    <row r="60" spans="1:22" x14ac:dyDescent="0.4">
      <c r="A60" s="1" t="s">
        <v>63</v>
      </c>
      <c r="D60" s="1" t="s">
        <v>6</v>
      </c>
      <c r="I60" s="1" t="str">
        <f t="shared" si="19"/>
        <v xml:space="preserve">///&lt;summary&gt;
///
///&lt;/summary&gt;
public   {get; set;}
</v>
      </c>
      <c r="J60" s="1" t="str">
        <f t="shared" si="2"/>
        <v xml:space="preserve"> AND t1. = @</v>
      </c>
      <c r="K60" s="1" t="str">
        <f t="shared" si="3"/>
        <v>t1.        AS ,</v>
      </c>
      <c r="L60" s="1" t="str">
        <f t="shared" si="4"/>
        <v>,</v>
      </c>
      <c r="M60" s="1" t="str">
        <f t="shared" si="5"/>
        <v>,@</v>
      </c>
      <c r="N60" s="1" t="str">
        <f t="shared" si="6"/>
        <v xml:space="preserve"> = @, </v>
      </c>
      <c r="O60" s="1" t="str">
        <f t="shared" si="9"/>
        <v>error += ExcelUtil.CheckValue(excelVo..ToString()  , "", false, (null, null, ), (false, false, true), (false, false));</v>
      </c>
      <c r="P60" s="1" t="str">
        <f t="shared" si="10"/>
        <v>excelVo. = StringUtil.IsNotEmpty(ExcelUtil.GetCell(sheet, i, j).ToString().TrimEnd())? ExcelUtil.GetCell(sheet, i, j).ToString().TrimEnd().ToUpper():"";j++;//</v>
      </c>
      <c r="Q60" s="1" t="str">
        <f t="shared" si="11"/>
        <v>ExcelUtil.SetContent(sheet, row, column++, (string)item[""]);</v>
      </c>
      <c r="R60" s="1" t="str">
        <f t="shared" si="12"/>
        <v>paramDt.Add("@" ,  );//DECIMAL</v>
      </c>
      <c r="S60" s="1" t="str">
        <f t="shared" si="13"/>
        <v>paramDt.Add("@" , master. );//</v>
      </c>
      <c r="T60" s="1" t="str">
        <f t="shared" si="18"/>
        <v>{ name: '' , sort: '' },</v>
      </c>
      <c r="U60" s="1" t="str">
        <f t="shared" si="15"/>
        <v>"":"",</v>
      </c>
      <c r="V60" s="1" t="str">
        <f t="shared" si="16"/>
        <v>this.vo. = 0 ; //</v>
      </c>
    </row>
    <row r="61" spans="1:22" x14ac:dyDescent="0.4">
      <c r="A61" s="1" t="s">
        <v>63</v>
      </c>
      <c r="D61" s="1" t="s">
        <v>6</v>
      </c>
      <c r="I61" s="1" t="str">
        <f t="shared" si="19"/>
        <v xml:space="preserve">///&lt;summary&gt;
///
///&lt;/summary&gt;
public   {get; set;}
</v>
      </c>
      <c r="J61" s="1" t="str">
        <f t="shared" si="2"/>
        <v xml:space="preserve"> AND t1. = @</v>
      </c>
      <c r="K61" s="1" t="str">
        <f t="shared" si="3"/>
        <v>t1.        AS ,</v>
      </c>
      <c r="L61" s="1" t="str">
        <f t="shared" si="4"/>
        <v>,</v>
      </c>
      <c r="M61" s="1" t="str">
        <f t="shared" si="5"/>
        <v>,@</v>
      </c>
      <c r="N61" s="1" t="str">
        <f t="shared" si="6"/>
        <v xml:space="preserve"> = @, </v>
      </c>
      <c r="O61" s="1" t="str">
        <f t="shared" si="9"/>
        <v>error += ExcelUtil.CheckValue(excelVo..ToString()  , "", false, (null, null, ), (false, false, true), (false, false));</v>
      </c>
      <c r="P61" s="1" t="str">
        <f t="shared" si="10"/>
        <v>excelVo. = StringUtil.IsNotEmpty(ExcelUtil.GetCell(sheet, i, j).ToString().TrimEnd())? ExcelUtil.GetCell(sheet, i, j).ToString().TrimEnd().ToUpper():"";j++;//</v>
      </c>
      <c r="Q61" s="1" t="str">
        <f t="shared" si="11"/>
        <v>ExcelUtil.SetContent(sheet, row, column++, (string)item[""]);</v>
      </c>
      <c r="R61" s="1" t="str">
        <f t="shared" si="12"/>
        <v>paramDt.Add("@" ,  );//DECIMAL</v>
      </c>
      <c r="S61" s="1" t="str">
        <f t="shared" si="13"/>
        <v>paramDt.Add("@" , master. );//</v>
      </c>
      <c r="T61" s="1" t="str">
        <f t="shared" si="18"/>
        <v>{ name: '' , sort: '' },</v>
      </c>
      <c r="U61" s="1" t="str">
        <f t="shared" si="15"/>
        <v>"":"",</v>
      </c>
      <c r="V61" s="1" t="str">
        <f t="shared" si="16"/>
        <v>this.vo. = 0 ; //</v>
      </c>
    </row>
    <row r="62" spans="1:22" x14ac:dyDescent="0.4">
      <c r="A62" s="1" t="s">
        <v>63</v>
      </c>
      <c r="D62" s="1" t="s">
        <v>6</v>
      </c>
      <c r="I62" s="1" t="str">
        <f t="shared" si="19"/>
        <v xml:space="preserve">///&lt;summary&gt;
///
///&lt;/summary&gt;
public   {get; set;}
</v>
      </c>
      <c r="J62" s="1" t="str">
        <f t="shared" si="2"/>
        <v xml:space="preserve"> AND t1. = @</v>
      </c>
      <c r="K62" s="1" t="str">
        <f t="shared" si="3"/>
        <v>t1.        AS ,</v>
      </c>
      <c r="L62" s="1" t="str">
        <f t="shared" si="4"/>
        <v>,</v>
      </c>
      <c r="M62" s="1" t="str">
        <f t="shared" si="5"/>
        <v>,@</v>
      </c>
      <c r="N62" s="1" t="str">
        <f t="shared" si="6"/>
        <v xml:space="preserve"> = @, </v>
      </c>
      <c r="O62" s="1" t="str">
        <f t="shared" si="9"/>
        <v>error += ExcelUtil.CheckValue(excelVo..ToString()  , "", false, (null, null, ), (false, false, true), (false, false));</v>
      </c>
      <c r="P62" s="1" t="str">
        <f t="shared" si="10"/>
        <v>excelVo. = StringUtil.IsNotEmpty(ExcelUtil.GetCell(sheet, i, j).ToString().TrimEnd())? ExcelUtil.GetCell(sheet, i, j).ToString().TrimEnd().ToUpper():"";j++;//</v>
      </c>
      <c r="Q62" s="1" t="str">
        <f t="shared" si="11"/>
        <v>ExcelUtil.SetContent(sheet, row, column++, (string)item[""]);</v>
      </c>
      <c r="R62" s="1" t="str">
        <f t="shared" si="12"/>
        <v>paramDt.Add("@" ,  );//DECIMAL</v>
      </c>
      <c r="S62" s="1" t="str">
        <f t="shared" si="13"/>
        <v>paramDt.Add("@" , master. );//</v>
      </c>
      <c r="T62" s="1" t="str">
        <f t="shared" si="18"/>
        <v>{ name: '' , sort: '' },</v>
      </c>
      <c r="U62" s="1" t="str">
        <f t="shared" si="15"/>
        <v>"":"",</v>
      </c>
      <c r="V62" s="1" t="str">
        <f t="shared" si="16"/>
        <v>this.vo. = 0 ; //</v>
      </c>
    </row>
    <row r="63" spans="1:22" x14ac:dyDescent="0.4">
      <c r="A63" s="1" t="s">
        <v>63</v>
      </c>
      <c r="D63" s="1" t="s">
        <v>6</v>
      </c>
      <c r="I63" s="1" t="str">
        <f t="shared" si="19"/>
        <v xml:space="preserve">///&lt;summary&gt;
///
///&lt;/summary&gt;
public   {get; set;}
</v>
      </c>
      <c r="J63" s="1" t="str">
        <f t="shared" si="2"/>
        <v xml:space="preserve"> AND t1. = @</v>
      </c>
      <c r="K63" s="1" t="str">
        <f t="shared" si="3"/>
        <v>t1.        AS ,</v>
      </c>
      <c r="L63" s="1" t="str">
        <f t="shared" si="4"/>
        <v>,</v>
      </c>
      <c r="M63" s="1" t="str">
        <f t="shared" si="5"/>
        <v>,@</v>
      </c>
      <c r="N63" s="1" t="str">
        <f t="shared" si="6"/>
        <v xml:space="preserve"> = @, </v>
      </c>
      <c r="O63" s="1" t="str">
        <f t="shared" si="9"/>
        <v>error += ExcelUtil.CheckValue(excelVo..ToString()  , "", false, (null, null, ), (false, false, true), (false, false));</v>
      </c>
      <c r="P63" s="1" t="str">
        <f t="shared" si="10"/>
        <v>excelVo. = StringUtil.IsNotEmpty(ExcelUtil.GetCell(sheet, i, j).ToString().TrimEnd())? ExcelUtil.GetCell(sheet, i, j).ToString().TrimEnd().ToUpper():"";j++;//</v>
      </c>
      <c r="Q63" s="1" t="str">
        <f t="shared" si="11"/>
        <v>ExcelUtil.SetContent(sheet, row, column++, (string)item[""]);</v>
      </c>
      <c r="R63" s="1" t="str">
        <f t="shared" si="12"/>
        <v>paramDt.Add("@" ,  );//DECIMAL</v>
      </c>
      <c r="S63" s="1" t="str">
        <f t="shared" si="13"/>
        <v>paramDt.Add("@" , master. );//</v>
      </c>
      <c r="T63" s="1" t="str">
        <f t="shared" si="18"/>
        <v>{ name: '' , sort: '' },</v>
      </c>
      <c r="U63" s="1" t="str">
        <f t="shared" si="15"/>
        <v>"":"",</v>
      </c>
      <c r="V63" s="1" t="str">
        <f t="shared" si="16"/>
        <v>this.vo. = 0 ; //</v>
      </c>
    </row>
    <row r="64" spans="1:22" x14ac:dyDescent="0.4">
      <c r="A64" s="1" t="s">
        <v>63</v>
      </c>
      <c r="D64" s="1" t="s">
        <v>6</v>
      </c>
      <c r="I64" s="1" t="str">
        <f t="shared" si="19"/>
        <v xml:space="preserve">///&lt;summary&gt;
///
///&lt;/summary&gt;
public   {get; set;}
</v>
      </c>
      <c r="J64" s="1" t="str">
        <f t="shared" si="2"/>
        <v xml:space="preserve"> AND t1. = @</v>
      </c>
      <c r="K64" s="1" t="str">
        <f t="shared" si="3"/>
        <v>t1.        AS ,</v>
      </c>
      <c r="L64" s="1" t="str">
        <f t="shared" si="4"/>
        <v>,</v>
      </c>
      <c r="M64" s="1" t="str">
        <f t="shared" si="5"/>
        <v>,@</v>
      </c>
      <c r="N64" s="1" t="str">
        <f t="shared" si="6"/>
        <v xml:space="preserve"> = @, </v>
      </c>
      <c r="O64" s="1" t="str">
        <f t="shared" si="9"/>
        <v>error += ExcelUtil.CheckValue(excelVo..ToString()  , "", false, (null, null, ), (false, false, true), (false, false));</v>
      </c>
      <c r="P64" s="1" t="str">
        <f t="shared" si="10"/>
        <v>excelVo. = StringUtil.IsNotEmpty(ExcelUtil.GetCell(sheet, i, j).ToString().TrimEnd())? ExcelUtil.GetCell(sheet, i, j).ToString().TrimEnd().ToUpper():"";j++;//</v>
      </c>
      <c r="Q64" s="1" t="str">
        <f t="shared" si="11"/>
        <v>ExcelUtil.SetContent(sheet, row, column++, (string)item[""]);</v>
      </c>
      <c r="R64" s="1" t="str">
        <f t="shared" si="12"/>
        <v>paramDt.Add("@" ,  );//DECIMAL</v>
      </c>
      <c r="S64" s="1" t="str">
        <f t="shared" si="13"/>
        <v>paramDt.Add("@" , master. );//</v>
      </c>
      <c r="T64" s="1" t="str">
        <f t="shared" si="18"/>
        <v>{ name: '' , sort: '' },</v>
      </c>
      <c r="U64" s="1" t="str">
        <f t="shared" si="15"/>
        <v>"":"",</v>
      </c>
      <c r="V64" s="1" t="str">
        <f t="shared" si="16"/>
        <v>this.vo. = 0 ; //</v>
      </c>
    </row>
    <row r="65" spans="1:22" x14ac:dyDescent="0.4">
      <c r="A65" s="1" t="s">
        <v>63</v>
      </c>
      <c r="D65" s="1" t="s">
        <v>6</v>
      </c>
      <c r="I65" s="1" t="str">
        <f t="shared" si="19"/>
        <v xml:space="preserve">///&lt;summary&gt;
///
///&lt;/summary&gt;
public   {get; set;}
</v>
      </c>
      <c r="J65" s="1" t="str">
        <f t="shared" si="2"/>
        <v xml:space="preserve"> AND t1. = @</v>
      </c>
      <c r="K65" s="1" t="str">
        <f t="shared" si="3"/>
        <v>t1.        AS ,</v>
      </c>
      <c r="L65" s="1" t="str">
        <f t="shared" si="4"/>
        <v>,</v>
      </c>
      <c r="M65" s="1" t="str">
        <f t="shared" si="5"/>
        <v>,@</v>
      </c>
      <c r="N65" s="1" t="str">
        <f t="shared" si="6"/>
        <v xml:space="preserve"> = @, </v>
      </c>
      <c r="O65" s="1" t="str">
        <f t="shared" si="9"/>
        <v>error += ExcelUtil.CheckValue(excelVo..ToString()  , "", false, (null, null, ), (false, false, true), (false, false));</v>
      </c>
      <c r="P65" s="1" t="str">
        <f t="shared" si="10"/>
        <v>excelVo. = StringUtil.IsNotEmpty(ExcelUtil.GetCell(sheet, i, j).ToString().TrimEnd())? ExcelUtil.GetCell(sheet, i, j).ToString().TrimEnd().ToUpper():"";j++;//</v>
      </c>
      <c r="Q65" s="1" t="str">
        <f t="shared" si="11"/>
        <v>ExcelUtil.SetContent(sheet, row, column++, (string)item[""]);</v>
      </c>
      <c r="R65" s="1" t="str">
        <f t="shared" si="12"/>
        <v>paramDt.Add("@" ,  );//DECIMAL</v>
      </c>
      <c r="S65" s="1" t="str">
        <f t="shared" si="13"/>
        <v>paramDt.Add("@" , master. );//</v>
      </c>
      <c r="T65" s="1" t="str">
        <f t="shared" si="18"/>
        <v>{ name: '' , sort: '' },</v>
      </c>
      <c r="U65" s="1" t="str">
        <f t="shared" si="15"/>
        <v>"":"",</v>
      </c>
      <c r="V65" s="1" t="str">
        <f t="shared" si="16"/>
        <v>this.vo. = 0 ; //</v>
      </c>
    </row>
    <row r="66" spans="1:22" x14ac:dyDescent="0.4">
      <c r="A66" s="1" t="s">
        <v>63</v>
      </c>
      <c r="D66" s="1" t="s">
        <v>6</v>
      </c>
      <c r="I66" s="1" t="str">
        <f t="shared" si="19"/>
        <v xml:space="preserve">///&lt;summary&gt;
///
///&lt;/summary&gt;
public   {get; set;}
</v>
      </c>
      <c r="J66" s="1" t="str">
        <f t="shared" si="2"/>
        <v xml:space="preserve"> AND t1. = @</v>
      </c>
      <c r="K66" s="1" t="str">
        <f t="shared" si="3"/>
        <v>t1.        AS ,</v>
      </c>
      <c r="L66" s="1" t="str">
        <f t="shared" si="4"/>
        <v>,</v>
      </c>
      <c r="M66" s="1" t="str">
        <f t="shared" si="5"/>
        <v>,@</v>
      </c>
      <c r="N66" s="1" t="str">
        <f t="shared" si="6"/>
        <v xml:space="preserve"> = @, </v>
      </c>
      <c r="O66" s="1" t="str">
        <f t="shared" si="9"/>
        <v>error += ExcelUtil.CheckValue(excelVo..ToString()  , "", false, (null, null, ), (false, false, true), (false, false));</v>
      </c>
      <c r="P66" s="1" t="str">
        <f t="shared" si="10"/>
        <v>excelVo. = StringUtil.IsNotEmpty(ExcelUtil.GetCell(sheet, i, j).ToString().TrimEnd())? ExcelUtil.GetCell(sheet, i, j).ToString().TrimEnd().ToUpper():"";j++;//</v>
      </c>
      <c r="Q66" s="1" t="str">
        <f t="shared" si="11"/>
        <v>ExcelUtil.SetContent(sheet, row, column++, (string)item[""]);</v>
      </c>
      <c r="R66" s="1" t="str">
        <f t="shared" si="12"/>
        <v>paramDt.Add("@" ,  );//DECIMAL</v>
      </c>
      <c r="S66" s="1" t="str">
        <f t="shared" si="13"/>
        <v>paramDt.Add("@" , master. );//</v>
      </c>
      <c r="T66" s="1" t="str">
        <f t="shared" si="18"/>
        <v>{ name: '' , sort: '' },</v>
      </c>
      <c r="U66" s="1" t="str">
        <f t="shared" si="15"/>
        <v>"":"",</v>
      </c>
      <c r="V66" s="1" t="str">
        <f t="shared" si="16"/>
        <v>this.vo. = 0 ; //</v>
      </c>
    </row>
    <row r="67" spans="1:22" x14ac:dyDescent="0.4">
      <c r="A67" s="1" t="s">
        <v>63</v>
      </c>
      <c r="D67" s="1" t="s">
        <v>6</v>
      </c>
      <c r="I67" s="1" t="str">
        <f t="shared" si="19"/>
        <v xml:space="preserve">///&lt;summary&gt;
///
///&lt;/summary&gt;
public   {get; set;}
</v>
      </c>
      <c r="J67" s="1" t="str">
        <f t="shared" si="2"/>
        <v xml:space="preserve"> AND t1. = @</v>
      </c>
      <c r="K67" s="1" t="str">
        <f t="shared" si="3"/>
        <v>t1.        AS ,</v>
      </c>
      <c r="L67" s="1" t="str">
        <f t="shared" si="4"/>
        <v>,</v>
      </c>
      <c r="M67" s="1" t="str">
        <f t="shared" si="5"/>
        <v>,@</v>
      </c>
      <c r="N67" s="1" t="str">
        <f t="shared" si="6"/>
        <v xml:space="preserve"> = @, </v>
      </c>
      <c r="O67" s="1" t="str">
        <f t="shared" si="9"/>
        <v>error += ExcelUtil.CheckValue(excelVo..ToString()  , "", false, (null, null, ), (false, false, true), (false, false));</v>
      </c>
      <c r="P67" s="1" t="str">
        <f t="shared" si="10"/>
        <v>excelVo. = StringUtil.IsNotEmpty(ExcelUtil.GetCell(sheet, i, j).ToString().TrimEnd())? ExcelUtil.GetCell(sheet, i, j).ToString().TrimEnd().ToUpper():"";j++;//</v>
      </c>
      <c r="Q67" s="1" t="str">
        <f t="shared" si="11"/>
        <v>ExcelUtil.SetContent(sheet, row, column++, (string)item[""]);</v>
      </c>
      <c r="R67" s="1" t="str">
        <f t="shared" si="12"/>
        <v>paramDt.Add("@" ,  );//DECIMAL</v>
      </c>
      <c r="S67" s="1" t="str">
        <f t="shared" si="13"/>
        <v>paramDt.Add("@" , master. );//</v>
      </c>
      <c r="T67" s="1" t="str">
        <f t="shared" si="18"/>
        <v>{ name: '' , sort: '' },</v>
      </c>
      <c r="U67" s="1" t="str">
        <f t="shared" si="15"/>
        <v>"":"",</v>
      </c>
      <c r="V67" s="1" t="str">
        <f t="shared" si="16"/>
        <v>this.vo. = 0 ; //</v>
      </c>
    </row>
    <row r="68" spans="1:22" x14ac:dyDescent="0.4">
      <c r="A68" s="1" t="s">
        <v>63</v>
      </c>
      <c r="D68" s="1" t="s">
        <v>6</v>
      </c>
      <c r="I68" s="1" t="str">
        <f t="shared" si="19"/>
        <v xml:space="preserve">///&lt;summary&gt;
///
///&lt;/summary&gt;
public   {get; set;}
</v>
      </c>
      <c r="J68" s="1" t="str">
        <f t="shared" si="2"/>
        <v xml:space="preserve"> AND t1. = @</v>
      </c>
      <c r="K68" s="1" t="str">
        <f t="shared" si="3"/>
        <v>t1.        AS ,</v>
      </c>
      <c r="L68" s="1" t="str">
        <f t="shared" si="4"/>
        <v>,</v>
      </c>
      <c r="M68" s="1" t="str">
        <f t="shared" si="5"/>
        <v>,@</v>
      </c>
      <c r="N68" s="1" t="str">
        <f t="shared" si="6"/>
        <v xml:space="preserve"> = @, </v>
      </c>
      <c r="O68" s="1" t="str">
        <f t="shared" si="9"/>
        <v>error += ExcelUtil.CheckValue(excelVo..ToString()  , "", false, (null, null, ), (false, false, true), (false, false));</v>
      </c>
      <c r="P68" s="1" t="str">
        <f t="shared" si="10"/>
        <v>excelVo. = StringUtil.IsNotEmpty(ExcelUtil.GetCell(sheet, i, j).ToString().TrimEnd())? ExcelUtil.GetCell(sheet, i, j).ToString().TrimEnd().ToUpper():"";j++;//</v>
      </c>
      <c r="Q68" s="1" t="str">
        <f t="shared" si="11"/>
        <v>ExcelUtil.SetContent(sheet, row, column++, (string)item[""]);</v>
      </c>
      <c r="R68" s="1" t="str">
        <f t="shared" si="12"/>
        <v>paramDt.Add("@" ,  );//DECIMAL</v>
      </c>
      <c r="S68" s="1" t="str">
        <f t="shared" si="13"/>
        <v>paramDt.Add("@" , master. );//</v>
      </c>
      <c r="T68" s="1" t="str">
        <f t="shared" si="18"/>
        <v>{ name: '' , sort: '' },</v>
      </c>
      <c r="U68" s="1" t="str">
        <f t="shared" si="15"/>
        <v>"":"",</v>
      </c>
      <c r="V68" s="1" t="str">
        <f t="shared" si="16"/>
        <v>this.vo. = 0 ; //</v>
      </c>
    </row>
    <row r="69" spans="1:22" x14ac:dyDescent="0.4">
      <c r="A69" s="1" t="s">
        <v>63</v>
      </c>
      <c r="D69" s="1" t="s">
        <v>6</v>
      </c>
      <c r="I69" s="1" t="str">
        <f t="shared" si="19"/>
        <v xml:space="preserve">///&lt;summary&gt;
///
///&lt;/summary&gt;
public   {get; set;}
</v>
      </c>
      <c r="J69" s="1" t="str">
        <f t="shared" ref="J69:J88" si="20">" AND t1."&amp;B69&amp;" = "&amp;"@"&amp;B69</f>
        <v xml:space="preserve"> AND t1. = @</v>
      </c>
      <c r="K69" s="1" t="str">
        <f t="shared" ref="K69:K88" si="21">"t1."&amp;B69&amp;"        "&amp;"AS "&amp;G69&amp;","</f>
        <v>t1.        AS ,</v>
      </c>
      <c r="L69" s="1" t="str">
        <f t="shared" ref="L69:L88" si="22">","&amp; B69</f>
        <v>,</v>
      </c>
      <c r="M69" s="1" t="str">
        <f t="shared" ref="M69:M88" si="23">",@"&amp;B69</f>
        <v>,@</v>
      </c>
      <c r="N69" s="1" t="str">
        <f t="shared" ref="N69:N88" si="24">B69&amp;" = "&amp;"@"&amp;B69&amp;", "</f>
        <v xml:space="preserve"> = @, </v>
      </c>
      <c r="O69" s="1" t="str">
        <f t="shared" si="9"/>
        <v>error += ExcelUtil.CheckValue(excelVo..ToString()  , "", false, (null, null, ), (false, false, true), (false, false));</v>
      </c>
      <c r="P69" s="1" t="str">
        <f t="shared" si="10"/>
        <v>excelVo. = StringUtil.IsNotEmpty(ExcelUtil.GetCell(sheet, i, j).ToString().TrimEnd())? ExcelUtil.GetCell(sheet, i, j).ToString().TrimEnd().ToUpper():"";j++;//</v>
      </c>
      <c r="Q69" s="1" t="str">
        <f t="shared" si="11"/>
        <v>ExcelUtil.SetContent(sheet, row, column++, (string)item[""]);</v>
      </c>
      <c r="R69" s="1" t="str">
        <f t="shared" si="12"/>
        <v>paramDt.Add("@" ,  );//DECIMAL</v>
      </c>
      <c r="S69" s="1" t="str">
        <f t="shared" si="13"/>
        <v>paramDt.Add("@" , master. );//</v>
      </c>
      <c r="T69" s="1" t="str">
        <f t="shared" si="18"/>
        <v>{ name: '' , sort: '' },</v>
      </c>
      <c r="U69" s="1" t="str">
        <f t="shared" si="15"/>
        <v>"":"",</v>
      </c>
      <c r="V69" s="1" t="str">
        <f t="shared" si="16"/>
        <v>this.vo. = 0 ; //</v>
      </c>
    </row>
    <row r="70" spans="1:22" x14ac:dyDescent="0.4">
      <c r="A70" s="1" t="s">
        <v>63</v>
      </c>
      <c r="D70" s="1" t="s">
        <v>6</v>
      </c>
      <c r="I70" s="1" t="str">
        <f t="shared" si="19"/>
        <v xml:space="preserve">///&lt;summary&gt;
///
///&lt;/summary&gt;
public   {get; set;}
</v>
      </c>
      <c r="J70" s="1" t="str">
        <f t="shared" si="20"/>
        <v xml:space="preserve"> AND t1. = @</v>
      </c>
      <c r="K70" s="1" t="str">
        <f t="shared" si="21"/>
        <v>t1.        AS ,</v>
      </c>
      <c r="L70" s="1" t="str">
        <f t="shared" si="22"/>
        <v>,</v>
      </c>
      <c r="M70" s="1" t="str">
        <f t="shared" si="23"/>
        <v>,@</v>
      </c>
      <c r="N70" s="1" t="str">
        <f t="shared" si="24"/>
        <v xml:space="preserve"> = @, </v>
      </c>
      <c r="O70" s="1" t="str">
        <f t="shared" ref="O70:O88" si="25">"error += ExcelUtil.CheckValue("&amp; IF(LOWER(D70)="decimal","excelVo."&amp;G70&amp;".ToString() ","excelVo."&amp;G70)  &amp;" , "&amp; """" &amp; TRIM(C70)&amp;""""&amp;", false, (null, null, "&amp;E70&amp;"), ("&amp;IF(LOWER(D70)="decimal","false","true")&amp;", false, "&amp;IF(LOWER(D70)="decimal","true","false")&amp;"), (false, false));"</f>
        <v>error += ExcelUtil.CheckValue(excelVo..ToString()  , "", false, (null, null, ), (false, false, true), (false, false));</v>
      </c>
      <c r="P70" s="1" t="str">
        <f t="shared" ref="P70:P88" si="26">"excelVo."&amp; G70&amp; " = StringUtil.IsNotEmpty(ExcelUtil.GetCell(sheet, i, j).ToString().TrimEnd())? ExcelUtil.GetCell(sheet, i, j).ToString().TrimEnd().ToUpper():"&amp; """" &amp; """" &amp;";j++;" &amp;"//"&amp;C70</f>
        <v>excelVo. = StringUtil.IsNotEmpty(ExcelUtil.GetCell(sheet, i, j).ToString().TrimEnd())? ExcelUtil.GetCell(sheet, i, j).ToString().TrimEnd().ToUpper():"";j++;//</v>
      </c>
      <c r="Q70" s="1" t="str">
        <f t="shared" ref="Q70:Q88" si="27">"ExcelUtil.SetContent(sheet, row, column++, (string)item["&amp;""""&amp;F70 &amp;""""&amp;"]);"</f>
        <v>ExcelUtil.SetContent(sheet, row, column++, (string)item[""]);</v>
      </c>
      <c r="R70" s="1" t="str">
        <f t="shared" ref="R70:R88" si="28">"paramDt.Add("&amp; """" &amp;"@"&amp; B70&amp; """" &amp;" , "&amp; G70 &amp;" );//"&amp;D70</f>
        <v>paramDt.Add("@" ,  );//DECIMAL</v>
      </c>
      <c r="S70" s="1" t="str">
        <f t="shared" ref="S70:S88" si="29">"paramDt.Add("&amp; """" &amp;"@"&amp; B70&amp; """" &amp;" , master."&amp; G70 &amp;" );//"&amp;C70</f>
        <v>paramDt.Add("@" , master. );//</v>
      </c>
      <c r="T70" s="1" t="str">
        <f t="shared" si="18"/>
        <v>{ name: '' , sort: '' },</v>
      </c>
      <c r="U70" s="1" t="str">
        <f t="shared" ref="U70:U88" si="30">""""&amp;F70&amp;""""&amp;":"&amp;""""&amp;TRIM(C70)&amp;""""&amp;","</f>
        <v>"":"",</v>
      </c>
      <c r="V70" s="1" t="str">
        <f t="shared" ref="V70:V88" si="31">IF(LOWER(D70)="decimal","this.vo."&amp;F70&amp;" = "&amp;0,"this.vo."&amp;F70&amp;" = ''")&amp;" ; //"&amp;TRIM(C70)</f>
        <v>this.vo. = 0 ; //</v>
      </c>
    </row>
    <row r="71" spans="1:22" x14ac:dyDescent="0.4">
      <c r="A71" s="1" t="s">
        <v>63</v>
      </c>
      <c r="D71" s="1" t="s">
        <v>6</v>
      </c>
      <c r="I71" s="1" t="str">
        <f t="shared" si="19"/>
        <v xml:space="preserve">///&lt;summary&gt;
///
///&lt;/summary&gt;
public   {get; set;}
</v>
      </c>
      <c r="J71" s="1" t="str">
        <f t="shared" si="20"/>
        <v xml:space="preserve"> AND t1. = @</v>
      </c>
      <c r="K71" s="1" t="str">
        <f t="shared" si="21"/>
        <v>t1.        AS ,</v>
      </c>
      <c r="L71" s="1" t="str">
        <f t="shared" si="22"/>
        <v>,</v>
      </c>
      <c r="M71" s="1" t="str">
        <f t="shared" si="23"/>
        <v>,@</v>
      </c>
      <c r="N71" s="1" t="str">
        <f t="shared" si="24"/>
        <v xml:space="preserve"> = @, </v>
      </c>
      <c r="O71" s="1" t="str">
        <f t="shared" si="25"/>
        <v>error += ExcelUtil.CheckValue(excelVo..ToString()  , "", false, (null, null, ), (false, false, true), (false, false));</v>
      </c>
      <c r="P71" s="1" t="str">
        <f t="shared" si="26"/>
        <v>excelVo. = StringUtil.IsNotEmpty(ExcelUtil.GetCell(sheet, i, j).ToString().TrimEnd())? ExcelUtil.GetCell(sheet, i, j).ToString().TrimEnd().ToUpper():"";j++;//</v>
      </c>
      <c r="Q71" s="1" t="str">
        <f t="shared" si="27"/>
        <v>ExcelUtil.SetContent(sheet, row, column++, (string)item[""]);</v>
      </c>
      <c r="R71" s="1" t="str">
        <f t="shared" si="28"/>
        <v>paramDt.Add("@" ,  );//DECIMAL</v>
      </c>
      <c r="S71" s="1" t="str">
        <f t="shared" si="29"/>
        <v>paramDt.Add("@" , master. );//</v>
      </c>
      <c r="T71" s="1" t="str">
        <f t="shared" si="18"/>
        <v>{ name: '' , sort: '' },</v>
      </c>
      <c r="U71" s="1" t="str">
        <f t="shared" si="30"/>
        <v>"":"",</v>
      </c>
      <c r="V71" s="1" t="str">
        <f t="shared" si="31"/>
        <v>this.vo. = 0 ; //</v>
      </c>
    </row>
    <row r="72" spans="1:22" x14ac:dyDescent="0.4">
      <c r="A72" s="1" t="s">
        <v>63</v>
      </c>
      <c r="D72" s="1" t="s">
        <v>6</v>
      </c>
      <c r="I72" s="1" t="str">
        <f t="shared" si="19"/>
        <v xml:space="preserve">///&lt;summary&gt;
///
///&lt;/summary&gt;
public   {get; set;}
</v>
      </c>
      <c r="J72" s="1" t="str">
        <f t="shared" si="20"/>
        <v xml:space="preserve"> AND t1. = @</v>
      </c>
      <c r="K72" s="1" t="str">
        <f t="shared" si="21"/>
        <v>t1.        AS ,</v>
      </c>
      <c r="L72" s="1" t="str">
        <f t="shared" si="22"/>
        <v>,</v>
      </c>
      <c r="M72" s="1" t="str">
        <f t="shared" si="23"/>
        <v>,@</v>
      </c>
      <c r="N72" s="1" t="str">
        <f t="shared" si="24"/>
        <v xml:space="preserve"> = @, </v>
      </c>
      <c r="O72" s="1" t="str">
        <f t="shared" si="25"/>
        <v>error += ExcelUtil.CheckValue(excelVo..ToString()  , "", false, (null, null, ), (false, false, true), (false, false));</v>
      </c>
      <c r="P72" s="1" t="str">
        <f t="shared" si="26"/>
        <v>excelVo. = StringUtil.IsNotEmpty(ExcelUtil.GetCell(sheet, i, j).ToString().TrimEnd())? ExcelUtil.GetCell(sheet, i, j).ToString().TrimEnd().ToUpper():"";j++;//</v>
      </c>
      <c r="Q72" s="1" t="str">
        <f t="shared" si="27"/>
        <v>ExcelUtil.SetContent(sheet, row, column++, (string)item[""]);</v>
      </c>
      <c r="R72" s="1" t="str">
        <f t="shared" si="28"/>
        <v>paramDt.Add("@" ,  );//DECIMAL</v>
      </c>
      <c r="S72" s="1" t="str">
        <f t="shared" si="29"/>
        <v>paramDt.Add("@" , master. );//</v>
      </c>
      <c r="T72" s="1" t="str">
        <f t="shared" si="18"/>
        <v>{ name: '' , sort: '' },</v>
      </c>
      <c r="U72" s="1" t="str">
        <f t="shared" si="30"/>
        <v>"":"",</v>
      </c>
      <c r="V72" s="1" t="str">
        <f t="shared" si="31"/>
        <v>this.vo. = 0 ; //</v>
      </c>
    </row>
    <row r="73" spans="1:22" x14ac:dyDescent="0.4">
      <c r="A73" s="1" t="s">
        <v>63</v>
      </c>
      <c r="D73" s="1" t="s">
        <v>6</v>
      </c>
      <c r="I73" s="1" t="str">
        <f t="shared" si="19"/>
        <v xml:space="preserve">///&lt;summary&gt;
///
///&lt;/summary&gt;
public   {get; set;}
</v>
      </c>
      <c r="J73" s="1" t="str">
        <f t="shared" si="20"/>
        <v xml:space="preserve"> AND t1. = @</v>
      </c>
      <c r="K73" s="1" t="str">
        <f t="shared" si="21"/>
        <v>t1.        AS ,</v>
      </c>
      <c r="L73" s="1" t="str">
        <f t="shared" si="22"/>
        <v>,</v>
      </c>
      <c r="M73" s="1" t="str">
        <f t="shared" si="23"/>
        <v>,@</v>
      </c>
      <c r="N73" s="1" t="str">
        <f t="shared" si="24"/>
        <v xml:space="preserve"> = @, </v>
      </c>
      <c r="O73" s="1" t="str">
        <f t="shared" si="25"/>
        <v>error += ExcelUtil.CheckValue(excelVo..ToString()  , "", false, (null, null, ), (false, false, true), (false, false));</v>
      </c>
      <c r="P73" s="1" t="str">
        <f t="shared" si="26"/>
        <v>excelVo. = StringUtil.IsNotEmpty(ExcelUtil.GetCell(sheet, i, j).ToString().TrimEnd())? ExcelUtil.GetCell(sheet, i, j).ToString().TrimEnd().ToUpper():"";j++;//</v>
      </c>
      <c r="Q73" s="1" t="str">
        <f t="shared" si="27"/>
        <v>ExcelUtil.SetContent(sheet, row, column++, (string)item[""]);</v>
      </c>
      <c r="R73" s="1" t="str">
        <f t="shared" si="28"/>
        <v>paramDt.Add("@" ,  );//DECIMAL</v>
      </c>
      <c r="S73" s="1" t="str">
        <f t="shared" si="29"/>
        <v>paramDt.Add("@" , master. );//</v>
      </c>
      <c r="T73" s="1" t="str">
        <f t="shared" si="18"/>
        <v>{ name: '' , sort: '' },</v>
      </c>
      <c r="U73" s="1" t="str">
        <f t="shared" si="30"/>
        <v>"":"",</v>
      </c>
      <c r="V73" s="1" t="str">
        <f t="shared" si="31"/>
        <v>this.vo. = 0 ; //</v>
      </c>
    </row>
    <row r="74" spans="1:22" x14ac:dyDescent="0.4">
      <c r="A74" s="1" t="s">
        <v>63</v>
      </c>
      <c r="D74" s="1" t="s">
        <v>6</v>
      </c>
      <c r="I74" s="1" t="str">
        <f t="shared" si="19"/>
        <v xml:space="preserve">///&lt;summary&gt;
///
///&lt;/summary&gt;
public   {get; set;}
</v>
      </c>
      <c r="J74" s="1" t="str">
        <f t="shared" si="20"/>
        <v xml:space="preserve"> AND t1. = @</v>
      </c>
      <c r="K74" s="1" t="str">
        <f t="shared" si="21"/>
        <v>t1.        AS ,</v>
      </c>
      <c r="L74" s="1" t="str">
        <f t="shared" si="22"/>
        <v>,</v>
      </c>
      <c r="M74" s="1" t="str">
        <f t="shared" si="23"/>
        <v>,@</v>
      </c>
      <c r="N74" s="1" t="str">
        <f t="shared" si="24"/>
        <v xml:space="preserve"> = @, </v>
      </c>
      <c r="O74" s="1" t="str">
        <f t="shared" si="25"/>
        <v>error += ExcelUtil.CheckValue(excelVo..ToString()  , "", false, (null, null, ), (false, false, true), (false, false));</v>
      </c>
      <c r="P74" s="1" t="str">
        <f t="shared" si="26"/>
        <v>excelVo. = StringUtil.IsNotEmpty(ExcelUtil.GetCell(sheet, i, j).ToString().TrimEnd())? ExcelUtil.GetCell(sheet, i, j).ToString().TrimEnd().ToUpper():"";j++;//</v>
      </c>
      <c r="Q74" s="1" t="str">
        <f t="shared" si="27"/>
        <v>ExcelUtil.SetContent(sheet, row, column++, (string)item[""]);</v>
      </c>
      <c r="R74" s="1" t="str">
        <f t="shared" si="28"/>
        <v>paramDt.Add("@" ,  );//DECIMAL</v>
      </c>
      <c r="S74" s="1" t="str">
        <f t="shared" si="29"/>
        <v>paramDt.Add("@" , master. );//</v>
      </c>
      <c r="T74" s="1" t="str">
        <f t="shared" si="18"/>
        <v>{ name: '' , sort: '' },</v>
      </c>
      <c r="U74" s="1" t="str">
        <f t="shared" si="30"/>
        <v>"":"",</v>
      </c>
      <c r="V74" s="1" t="str">
        <f t="shared" si="31"/>
        <v>this.vo. = 0 ; //</v>
      </c>
    </row>
    <row r="75" spans="1:22" x14ac:dyDescent="0.4">
      <c r="A75" s="1" t="s">
        <v>63</v>
      </c>
      <c r="D75" s="1" t="s">
        <v>6</v>
      </c>
      <c r="I75" s="1" t="str">
        <f t="shared" si="19"/>
        <v xml:space="preserve">///&lt;summary&gt;
///
///&lt;/summary&gt;
public   {get; set;}
</v>
      </c>
      <c r="J75" s="1" t="str">
        <f t="shared" si="20"/>
        <v xml:space="preserve"> AND t1. = @</v>
      </c>
      <c r="K75" s="1" t="str">
        <f t="shared" si="21"/>
        <v>t1.        AS ,</v>
      </c>
      <c r="L75" s="1" t="str">
        <f t="shared" si="22"/>
        <v>,</v>
      </c>
      <c r="M75" s="1" t="str">
        <f t="shared" si="23"/>
        <v>,@</v>
      </c>
      <c r="N75" s="1" t="str">
        <f t="shared" si="24"/>
        <v xml:space="preserve"> = @, </v>
      </c>
      <c r="O75" s="1" t="str">
        <f t="shared" si="25"/>
        <v>error += ExcelUtil.CheckValue(excelVo..ToString()  , "", false, (null, null, ), (false, false, true), (false, false));</v>
      </c>
      <c r="P75" s="1" t="str">
        <f t="shared" si="26"/>
        <v>excelVo. = StringUtil.IsNotEmpty(ExcelUtil.GetCell(sheet, i, j).ToString().TrimEnd())? ExcelUtil.GetCell(sheet, i, j).ToString().TrimEnd().ToUpper():"";j++;//</v>
      </c>
      <c r="Q75" s="1" t="str">
        <f t="shared" si="27"/>
        <v>ExcelUtil.SetContent(sheet, row, column++, (string)item[""]);</v>
      </c>
      <c r="R75" s="1" t="str">
        <f t="shared" si="28"/>
        <v>paramDt.Add("@" ,  );//DECIMAL</v>
      </c>
      <c r="S75" s="1" t="str">
        <f t="shared" si="29"/>
        <v>paramDt.Add("@" , master. );//</v>
      </c>
      <c r="T75" s="1" t="str">
        <f t="shared" si="18"/>
        <v>{ name: '' , sort: '' },</v>
      </c>
      <c r="U75" s="1" t="str">
        <f t="shared" si="30"/>
        <v>"":"",</v>
      </c>
      <c r="V75" s="1" t="str">
        <f t="shared" si="31"/>
        <v>this.vo. = 0 ; //</v>
      </c>
    </row>
    <row r="76" spans="1:22" x14ac:dyDescent="0.4">
      <c r="A76" s="1" t="s">
        <v>63</v>
      </c>
      <c r="D76" s="1" t="s">
        <v>6</v>
      </c>
      <c r="I76" s="1" t="str">
        <f t="shared" si="19"/>
        <v xml:space="preserve">///&lt;summary&gt;
///
///&lt;/summary&gt;
public   {get; set;}
</v>
      </c>
      <c r="J76" s="1" t="str">
        <f t="shared" si="20"/>
        <v xml:space="preserve"> AND t1. = @</v>
      </c>
      <c r="K76" s="1" t="str">
        <f t="shared" si="21"/>
        <v>t1.        AS ,</v>
      </c>
      <c r="L76" s="1" t="str">
        <f t="shared" si="22"/>
        <v>,</v>
      </c>
      <c r="M76" s="1" t="str">
        <f t="shared" si="23"/>
        <v>,@</v>
      </c>
      <c r="N76" s="1" t="str">
        <f t="shared" si="24"/>
        <v xml:space="preserve"> = @, </v>
      </c>
      <c r="O76" s="1" t="str">
        <f t="shared" si="25"/>
        <v>error += ExcelUtil.CheckValue(excelVo..ToString()  , "", false, (null, null, ), (false, false, true), (false, false));</v>
      </c>
      <c r="P76" s="1" t="str">
        <f t="shared" si="26"/>
        <v>excelVo. = StringUtil.IsNotEmpty(ExcelUtil.GetCell(sheet, i, j).ToString().TrimEnd())? ExcelUtil.GetCell(sheet, i, j).ToString().TrimEnd().ToUpper():"";j++;//</v>
      </c>
      <c r="Q76" s="1" t="str">
        <f t="shared" si="27"/>
        <v>ExcelUtil.SetContent(sheet, row, column++, (string)item[""]);</v>
      </c>
      <c r="R76" s="1" t="str">
        <f t="shared" si="28"/>
        <v>paramDt.Add("@" ,  );//DECIMAL</v>
      </c>
      <c r="S76" s="1" t="str">
        <f t="shared" si="29"/>
        <v>paramDt.Add("@" , master. );//</v>
      </c>
      <c r="T76" s="1" t="str">
        <f t="shared" si="18"/>
        <v>{ name: '' , sort: '' },</v>
      </c>
      <c r="U76" s="1" t="str">
        <f t="shared" si="30"/>
        <v>"":"",</v>
      </c>
      <c r="V76" s="1" t="str">
        <f t="shared" si="31"/>
        <v>this.vo. = 0 ; //</v>
      </c>
    </row>
    <row r="77" spans="1:22" x14ac:dyDescent="0.4">
      <c r="A77" s="1" t="s">
        <v>63</v>
      </c>
      <c r="D77" s="1" t="s">
        <v>6</v>
      </c>
      <c r="I77" s="1" t="str">
        <f t="shared" si="19"/>
        <v xml:space="preserve">///&lt;summary&gt;
///
///&lt;/summary&gt;
public   {get; set;}
</v>
      </c>
      <c r="J77" s="1" t="str">
        <f t="shared" si="20"/>
        <v xml:space="preserve"> AND t1. = @</v>
      </c>
      <c r="K77" s="1" t="str">
        <f t="shared" si="21"/>
        <v>t1.        AS ,</v>
      </c>
      <c r="L77" s="1" t="str">
        <f t="shared" si="22"/>
        <v>,</v>
      </c>
      <c r="M77" s="1" t="str">
        <f t="shared" si="23"/>
        <v>,@</v>
      </c>
      <c r="N77" s="1" t="str">
        <f t="shared" si="24"/>
        <v xml:space="preserve"> = @, </v>
      </c>
      <c r="O77" s="1" t="str">
        <f t="shared" si="25"/>
        <v>error += ExcelUtil.CheckValue(excelVo..ToString()  , "", false, (null, null, ), (false, false, true), (false, false));</v>
      </c>
      <c r="P77" s="1" t="str">
        <f t="shared" si="26"/>
        <v>excelVo. = StringUtil.IsNotEmpty(ExcelUtil.GetCell(sheet, i, j).ToString().TrimEnd())? ExcelUtil.GetCell(sheet, i, j).ToString().TrimEnd().ToUpper():"";j++;//</v>
      </c>
      <c r="Q77" s="1" t="str">
        <f t="shared" si="27"/>
        <v>ExcelUtil.SetContent(sheet, row, column++, (string)item[""]);</v>
      </c>
      <c r="R77" s="1" t="str">
        <f t="shared" si="28"/>
        <v>paramDt.Add("@" ,  );//DECIMAL</v>
      </c>
      <c r="S77" s="1" t="str">
        <f t="shared" si="29"/>
        <v>paramDt.Add("@" , master. );//</v>
      </c>
      <c r="T77" s="1" t="str">
        <f t="shared" si="18"/>
        <v>{ name: '' , sort: '' },</v>
      </c>
      <c r="U77" s="1" t="str">
        <f t="shared" si="30"/>
        <v>"":"",</v>
      </c>
      <c r="V77" s="1" t="str">
        <f t="shared" si="31"/>
        <v>this.vo. = 0 ; //</v>
      </c>
    </row>
    <row r="78" spans="1:22" x14ac:dyDescent="0.4">
      <c r="A78" s="1" t="s">
        <v>63</v>
      </c>
      <c r="D78" s="1" t="s">
        <v>6</v>
      </c>
      <c r="I78" s="1" t="str">
        <f t="shared" si="19"/>
        <v xml:space="preserve">///&lt;summary&gt;
///
///&lt;/summary&gt;
public   {get; set;}
</v>
      </c>
      <c r="J78" s="1" t="str">
        <f t="shared" si="20"/>
        <v xml:space="preserve"> AND t1. = @</v>
      </c>
      <c r="K78" s="1" t="str">
        <f t="shared" si="21"/>
        <v>t1.        AS ,</v>
      </c>
      <c r="L78" s="1" t="str">
        <f t="shared" si="22"/>
        <v>,</v>
      </c>
      <c r="M78" s="1" t="str">
        <f t="shared" si="23"/>
        <v>,@</v>
      </c>
      <c r="N78" s="1" t="str">
        <f t="shared" si="24"/>
        <v xml:space="preserve"> = @, </v>
      </c>
      <c r="O78" s="1" t="str">
        <f t="shared" si="25"/>
        <v>error += ExcelUtil.CheckValue(excelVo..ToString()  , "", false, (null, null, ), (false, false, true), (false, false));</v>
      </c>
      <c r="P78" s="1" t="str">
        <f t="shared" si="26"/>
        <v>excelVo. = StringUtil.IsNotEmpty(ExcelUtil.GetCell(sheet, i, j).ToString().TrimEnd())? ExcelUtil.GetCell(sheet, i, j).ToString().TrimEnd().ToUpper():"";j++;//</v>
      </c>
      <c r="Q78" s="1" t="str">
        <f t="shared" si="27"/>
        <v>ExcelUtil.SetContent(sheet, row, column++, (string)item[""]);</v>
      </c>
      <c r="R78" s="1" t="str">
        <f t="shared" si="28"/>
        <v>paramDt.Add("@" ,  );//DECIMAL</v>
      </c>
      <c r="S78" s="1" t="str">
        <f t="shared" si="29"/>
        <v>paramDt.Add("@" , master. );//</v>
      </c>
      <c r="T78" s="1" t="str">
        <f t="shared" si="18"/>
        <v>{ name: '' , sort: '' },</v>
      </c>
      <c r="U78" s="1" t="str">
        <f t="shared" si="30"/>
        <v>"":"",</v>
      </c>
      <c r="V78" s="1" t="str">
        <f t="shared" si="31"/>
        <v>this.vo. = 0 ; //</v>
      </c>
    </row>
    <row r="79" spans="1:22" x14ac:dyDescent="0.4">
      <c r="A79" s="1" t="s">
        <v>63</v>
      </c>
      <c r="D79" s="1" t="s">
        <v>5</v>
      </c>
      <c r="I79" s="1" t="str">
        <f t="shared" si="19"/>
        <v xml:space="preserve">///&lt;summary&gt;
///
///&lt;/summary&gt;
public   {get; set;}
</v>
      </c>
      <c r="J79" s="1" t="str">
        <f t="shared" si="20"/>
        <v xml:space="preserve"> AND t1. = @</v>
      </c>
      <c r="K79" s="1" t="str">
        <f t="shared" si="21"/>
        <v>t1.        AS ,</v>
      </c>
      <c r="L79" s="1" t="str">
        <f t="shared" si="22"/>
        <v>,</v>
      </c>
      <c r="M79" s="1" t="str">
        <f t="shared" si="23"/>
        <v>,@</v>
      </c>
      <c r="N79" s="1" t="str">
        <f t="shared" si="24"/>
        <v xml:space="preserve"> = @, </v>
      </c>
      <c r="O79" s="1" t="str">
        <f t="shared" si="25"/>
        <v>error += ExcelUtil.CheckValue(excelVo. , "", false, (null, null, ), (true, false, false), (false, false));</v>
      </c>
      <c r="P79" s="1" t="str">
        <f t="shared" si="26"/>
        <v>excelVo. = StringUtil.IsNotEmpty(ExcelUtil.GetCell(sheet, i, j).ToString().TrimEnd())? ExcelUtil.GetCell(sheet, i, j).ToString().TrimEnd().ToUpper():"";j++;//</v>
      </c>
      <c r="Q79" s="1" t="str">
        <f t="shared" si="27"/>
        <v>ExcelUtil.SetContent(sheet, row, column++, (string)item[""]);</v>
      </c>
      <c r="R79" s="1" t="str">
        <f t="shared" si="28"/>
        <v>paramDt.Add("@" ,  );//VARCHAR</v>
      </c>
      <c r="S79" s="1" t="str">
        <f t="shared" si="29"/>
        <v>paramDt.Add("@" , master. );//</v>
      </c>
      <c r="T79" s="1" t="str">
        <f t="shared" si="18"/>
        <v>{ name: '' , sort: '' },</v>
      </c>
      <c r="U79" s="1" t="str">
        <f t="shared" si="30"/>
        <v>"":"",</v>
      </c>
      <c r="V79" s="1" t="str">
        <f t="shared" si="31"/>
        <v>this.vo. = '' ; //</v>
      </c>
    </row>
    <row r="80" spans="1:22" x14ac:dyDescent="0.4">
      <c r="A80" s="1" t="s">
        <v>63</v>
      </c>
      <c r="D80" s="1" t="s">
        <v>5</v>
      </c>
      <c r="I80" s="1" t="str">
        <f t="shared" si="19"/>
        <v xml:space="preserve">///&lt;summary&gt;
///
///&lt;/summary&gt;
public   {get; set;}
</v>
      </c>
      <c r="J80" s="1" t="str">
        <f t="shared" si="20"/>
        <v xml:space="preserve"> AND t1. = @</v>
      </c>
      <c r="K80" s="1" t="str">
        <f t="shared" si="21"/>
        <v>t1.        AS ,</v>
      </c>
      <c r="L80" s="1" t="str">
        <f t="shared" si="22"/>
        <v>,</v>
      </c>
      <c r="M80" s="1" t="str">
        <f t="shared" si="23"/>
        <v>,@</v>
      </c>
      <c r="N80" s="1" t="str">
        <f t="shared" si="24"/>
        <v xml:space="preserve"> = @, </v>
      </c>
      <c r="O80" s="1" t="str">
        <f t="shared" si="25"/>
        <v>error += ExcelUtil.CheckValue(excelVo. , "", false, (null, null, ), (true, false, false), (false, false));</v>
      </c>
      <c r="P80" s="1" t="str">
        <f t="shared" si="26"/>
        <v>excelVo. = StringUtil.IsNotEmpty(ExcelUtil.GetCell(sheet, i, j).ToString().TrimEnd())? ExcelUtil.GetCell(sheet, i, j).ToString().TrimEnd().ToUpper():"";j++;//</v>
      </c>
      <c r="Q80" s="1" t="str">
        <f t="shared" si="27"/>
        <v>ExcelUtil.SetContent(sheet, row, column++, (string)item[""]);</v>
      </c>
      <c r="R80" s="1" t="str">
        <f t="shared" si="28"/>
        <v>paramDt.Add("@" ,  );//VARCHAR</v>
      </c>
      <c r="S80" s="1" t="str">
        <f t="shared" si="29"/>
        <v>paramDt.Add("@" , master. );//</v>
      </c>
      <c r="T80" s="1" t="str">
        <f t="shared" si="18"/>
        <v>{ name: '' , sort: '' },</v>
      </c>
      <c r="U80" s="1" t="str">
        <f t="shared" si="30"/>
        <v>"":"",</v>
      </c>
      <c r="V80" s="1" t="str">
        <f t="shared" si="31"/>
        <v>this.vo. = '' ; //</v>
      </c>
    </row>
    <row r="81" spans="1:22" x14ac:dyDescent="0.4">
      <c r="A81" s="1" t="s">
        <v>63</v>
      </c>
      <c r="D81" s="1" t="s">
        <v>5</v>
      </c>
      <c r="I81" s="1" t="str">
        <f t="shared" si="19"/>
        <v xml:space="preserve">///&lt;summary&gt;
///
///&lt;/summary&gt;
public   {get; set;}
</v>
      </c>
      <c r="J81" s="1" t="str">
        <f t="shared" si="20"/>
        <v xml:space="preserve"> AND t1. = @</v>
      </c>
      <c r="K81" s="1" t="str">
        <f t="shared" si="21"/>
        <v>t1.        AS ,</v>
      </c>
      <c r="L81" s="1" t="str">
        <f t="shared" si="22"/>
        <v>,</v>
      </c>
      <c r="M81" s="1" t="str">
        <f t="shared" si="23"/>
        <v>,@</v>
      </c>
      <c r="N81" s="1" t="str">
        <f t="shared" si="24"/>
        <v xml:space="preserve"> = @, </v>
      </c>
      <c r="O81" s="1" t="str">
        <f t="shared" si="25"/>
        <v>error += ExcelUtil.CheckValue(excelVo. , "", false, (null, null, ), (true, false, false), (false, false));</v>
      </c>
      <c r="P81" s="1" t="str">
        <f t="shared" si="26"/>
        <v>excelVo. = StringUtil.IsNotEmpty(ExcelUtil.GetCell(sheet, i, j).ToString().TrimEnd())? ExcelUtil.GetCell(sheet, i, j).ToString().TrimEnd().ToUpper():"";j++;//</v>
      </c>
      <c r="Q81" s="1" t="str">
        <f t="shared" si="27"/>
        <v>ExcelUtil.SetContent(sheet, row, column++, (string)item[""]);</v>
      </c>
      <c r="R81" s="1" t="str">
        <f t="shared" si="28"/>
        <v>paramDt.Add("@" ,  );//VARCHAR</v>
      </c>
      <c r="S81" s="1" t="str">
        <f t="shared" si="29"/>
        <v>paramDt.Add("@" , master. );//</v>
      </c>
      <c r="T81" s="1" t="str">
        <f t="shared" si="18"/>
        <v>{ name: '' , sort: '' },</v>
      </c>
      <c r="U81" s="1" t="str">
        <f t="shared" si="30"/>
        <v>"":"",</v>
      </c>
      <c r="V81" s="1" t="str">
        <f t="shared" si="31"/>
        <v>this.vo. = '' ; //</v>
      </c>
    </row>
    <row r="82" spans="1:22" x14ac:dyDescent="0.4">
      <c r="A82" s="1" t="s">
        <v>63</v>
      </c>
      <c r="D82" s="1" t="s">
        <v>5</v>
      </c>
      <c r="I82" s="1" t="str">
        <f t="shared" si="19"/>
        <v xml:space="preserve">///&lt;summary&gt;
///
///&lt;/summary&gt;
public   {get; set;}
</v>
      </c>
      <c r="J82" s="1" t="str">
        <f t="shared" si="20"/>
        <v xml:space="preserve"> AND t1. = @</v>
      </c>
      <c r="K82" s="1" t="str">
        <f t="shared" si="21"/>
        <v>t1.        AS ,</v>
      </c>
      <c r="L82" s="1" t="str">
        <f t="shared" si="22"/>
        <v>,</v>
      </c>
      <c r="M82" s="1" t="str">
        <f t="shared" si="23"/>
        <v>,@</v>
      </c>
      <c r="N82" s="1" t="str">
        <f t="shared" si="24"/>
        <v xml:space="preserve"> = @, </v>
      </c>
      <c r="O82" s="1" t="str">
        <f t="shared" si="25"/>
        <v>error += ExcelUtil.CheckValue(excelVo. , "", false, (null, null, ), (true, false, false), (false, false));</v>
      </c>
      <c r="P82" s="1" t="str">
        <f t="shared" si="26"/>
        <v>excelVo. = StringUtil.IsNotEmpty(ExcelUtil.GetCell(sheet, i, j).ToString().TrimEnd())? ExcelUtil.GetCell(sheet, i, j).ToString().TrimEnd().ToUpper():"";j++;//</v>
      </c>
      <c r="Q82" s="1" t="str">
        <f t="shared" si="27"/>
        <v>ExcelUtil.SetContent(sheet, row, column++, (string)item[""]);</v>
      </c>
      <c r="R82" s="1" t="str">
        <f t="shared" si="28"/>
        <v>paramDt.Add("@" ,  );//VARCHAR</v>
      </c>
      <c r="S82" s="1" t="str">
        <f t="shared" si="29"/>
        <v>paramDt.Add("@" , master. );//</v>
      </c>
      <c r="T82" s="1" t="str">
        <f t="shared" si="18"/>
        <v>{ name: '' , sort: '' },</v>
      </c>
      <c r="U82" s="1" t="str">
        <f t="shared" si="30"/>
        <v>"":"",</v>
      </c>
      <c r="V82" s="1" t="str">
        <f t="shared" si="31"/>
        <v>this.vo. = '' ; //</v>
      </c>
    </row>
    <row r="83" spans="1:22" x14ac:dyDescent="0.4">
      <c r="A83" s="1" t="s">
        <v>63</v>
      </c>
      <c r="D83" s="1" t="s">
        <v>5</v>
      </c>
      <c r="I83" s="1" t="str">
        <f t="shared" si="19"/>
        <v xml:space="preserve">///&lt;summary&gt;
///
///&lt;/summary&gt;
public   {get; set;}
</v>
      </c>
      <c r="J83" s="1" t="str">
        <f t="shared" si="20"/>
        <v xml:space="preserve"> AND t1. = @</v>
      </c>
      <c r="K83" s="1" t="str">
        <f t="shared" si="21"/>
        <v>t1.        AS ,</v>
      </c>
      <c r="L83" s="1" t="str">
        <f t="shared" si="22"/>
        <v>,</v>
      </c>
      <c r="M83" s="1" t="str">
        <f t="shared" si="23"/>
        <v>,@</v>
      </c>
      <c r="N83" s="1" t="str">
        <f t="shared" si="24"/>
        <v xml:space="preserve"> = @, </v>
      </c>
      <c r="O83" s="1" t="str">
        <f t="shared" si="25"/>
        <v>error += ExcelUtil.CheckValue(excelVo. , "", false, (null, null, ), (true, false, false), (false, false));</v>
      </c>
      <c r="P83" s="1" t="str">
        <f t="shared" si="26"/>
        <v>excelVo. = StringUtil.IsNotEmpty(ExcelUtil.GetCell(sheet, i, j).ToString().TrimEnd())? ExcelUtil.GetCell(sheet, i, j).ToString().TrimEnd().ToUpper():"";j++;//</v>
      </c>
      <c r="Q83" s="1" t="str">
        <f t="shared" si="27"/>
        <v>ExcelUtil.SetContent(sheet, row, column++, (string)item[""]);</v>
      </c>
      <c r="R83" s="1" t="str">
        <f t="shared" si="28"/>
        <v>paramDt.Add("@" ,  );//VARCHAR</v>
      </c>
      <c r="S83" s="1" t="str">
        <f t="shared" si="29"/>
        <v>paramDt.Add("@" , master. );//</v>
      </c>
      <c r="T83" s="1" t="str">
        <f t="shared" si="18"/>
        <v>{ name: '' , sort: '' },</v>
      </c>
      <c r="U83" s="1" t="str">
        <f t="shared" si="30"/>
        <v>"":"",</v>
      </c>
      <c r="V83" s="1" t="str">
        <f t="shared" si="31"/>
        <v>this.vo. = '' ; //</v>
      </c>
    </row>
    <row r="84" spans="1:22" x14ac:dyDescent="0.4">
      <c r="A84" s="1" t="s">
        <v>63</v>
      </c>
      <c r="D84" s="1" t="s">
        <v>5</v>
      </c>
      <c r="I84" s="1" t="str">
        <f t="shared" si="19"/>
        <v xml:space="preserve">///&lt;summary&gt;
///
///&lt;/summary&gt;
public   {get; set;}
</v>
      </c>
      <c r="J84" s="1" t="str">
        <f t="shared" si="20"/>
        <v xml:space="preserve"> AND t1. = @</v>
      </c>
      <c r="K84" s="1" t="str">
        <f t="shared" si="21"/>
        <v>t1.        AS ,</v>
      </c>
      <c r="L84" s="1" t="str">
        <f t="shared" si="22"/>
        <v>,</v>
      </c>
      <c r="M84" s="1" t="str">
        <f t="shared" si="23"/>
        <v>,@</v>
      </c>
      <c r="N84" s="1" t="str">
        <f t="shared" si="24"/>
        <v xml:space="preserve"> = @, </v>
      </c>
      <c r="O84" s="1" t="str">
        <f t="shared" si="25"/>
        <v>error += ExcelUtil.CheckValue(excelVo. , "", false, (null, null, ), (true, false, false), (false, false));</v>
      </c>
      <c r="P84" s="1" t="str">
        <f t="shared" si="26"/>
        <v>excelVo. = StringUtil.IsNotEmpty(ExcelUtil.GetCell(sheet, i, j).ToString().TrimEnd())? ExcelUtil.GetCell(sheet, i, j).ToString().TrimEnd().ToUpper():"";j++;//</v>
      </c>
      <c r="Q84" s="1" t="str">
        <f t="shared" si="27"/>
        <v>ExcelUtil.SetContent(sheet, row, column++, (string)item[""]);</v>
      </c>
      <c r="R84" s="1" t="str">
        <f t="shared" si="28"/>
        <v>paramDt.Add("@" ,  );//VARCHAR</v>
      </c>
      <c r="S84" s="1" t="str">
        <f t="shared" si="29"/>
        <v>paramDt.Add("@" , master. );//</v>
      </c>
      <c r="T84" s="1" t="str">
        <f t="shared" si="18"/>
        <v>{ name: '' , sort: '' },</v>
      </c>
      <c r="U84" s="1" t="str">
        <f t="shared" si="30"/>
        <v>"":"",</v>
      </c>
      <c r="V84" s="1" t="str">
        <f t="shared" si="31"/>
        <v>this.vo. = '' ; //</v>
      </c>
    </row>
    <row r="85" spans="1:22" x14ac:dyDescent="0.4">
      <c r="A85" s="1" t="s">
        <v>63</v>
      </c>
      <c r="D85" s="1" t="s">
        <v>5</v>
      </c>
      <c r="I85" s="1" t="str">
        <f t="shared" si="19"/>
        <v xml:space="preserve">///&lt;summary&gt;
///
///&lt;/summary&gt;
public   {get; set;}
</v>
      </c>
      <c r="J85" s="1" t="str">
        <f t="shared" si="20"/>
        <v xml:space="preserve"> AND t1. = @</v>
      </c>
      <c r="K85" s="1" t="str">
        <f t="shared" si="21"/>
        <v>t1.        AS ,</v>
      </c>
      <c r="L85" s="1" t="str">
        <f t="shared" si="22"/>
        <v>,</v>
      </c>
      <c r="M85" s="1" t="str">
        <f t="shared" si="23"/>
        <v>,@</v>
      </c>
      <c r="N85" s="1" t="str">
        <f t="shared" si="24"/>
        <v xml:space="preserve"> = @, </v>
      </c>
      <c r="O85" s="1" t="str">
        <f t="shared" si="25"/>
        <v>error += ExcelUtil.CheckValue(excelVo. , "", false, (null, null, ), (true, false, false), (false, false));</v>
      </c>
      <c r="P85" s="1" t="str">
        <f t="shared" si="26"/>
        <v>excelVo. = StringUtil.IsNotEmpty(ExcelUtil.GetCell(sheet, i, j).ToString().TrimEnd())? ExcelUtil.GetCell(sheet, i, j).ToString().TrimEnd().ToUpper():"";j++;//</v>
      </c>
      <c r="Q85" s="1" t="str">
        <f t="shared" si="27"/>
        <v>ExcelUtil.SetContent(sheet, row, column++, (string)item[""]);</v>
      </c>
      <c r="R85" s="1" t="str">
        <f t="shared" si="28"/>
        <v>paramDt.Add("@" ,  );//VARCHAR</v>
      </c>
      <c r="S85" s="1" t="str">
        <f t="shared" si="29"/>
        <v>paramDt.Add("@" , master. );//</v>
      </c>
      <c r="T85" s="1" t="str">
        <f t="shared" si="18"/>
        <v>{ name: '' , sort: '' },</v>
      </c>
      <c r="U85" s="1" t="str">
        <f t="shared" si="30"/>
        <v>"":"",</v>
      </c>
      <c r="V85" s="1" t="str">
        <f t="shared" si="31"/>
        <v>this.vo. = '' ; //</v>
      </c>
    </row>
    <row r="86" spans="1:22" x14ac:dyDescent="0.4">
      <c r="A86" s="1" t="s">
        <v>63</v>
      </c>
      <c r="D86" s="1" t="s">
        <v>5</v>
      </c>
      <c r="I86" s="1" t="str">
        <f t="shared" si="19"/>
        <v xml:space="preserve">///&lt;summary&gt;
///
///&lt;/summary&gt;
public   {get; set;}
</v>
      </c>
      <c r="J86" s="1" t="str">
        <f t="shared" si="20"/>
        <v xml:space="preserve"> AND t1. = @</v>
      </c>
      <c r="K86" s="1" t="str">
        <f t="shared" si="21"/>
        <v>t1.        AS ,</v>
      </c>
      <c r="L86" s="1" t="str">
        <f t="shared" si="22"/>
        <v>,</v>
      </c>
      <c r="M86" s="1" t="str">
        <f t="shared" si="23"/>
        <v>,@</v>
      </c>
      <c r="N86" s="1" t="str">
        <f t="shared" si="24"/>
        <v xml:space="preserve"> = @, </v>
      </c>
      <c r="O86" s="1" t="str">
        <f t="shared" si="25"/>
        <v>error += ExcelUtil.CheckValue(excelVo. , "", false, (null, null, ), (true, false, false), (false, false));</v>
      </c>
      <c r="P86" s="1" t="str">
        <f t="shared" si="26"/>
        <v>excelVo. = StringUtil.IsNotEmpty(ExcelUtil.GetCell(sheet, i, j).ToString().TrimEnd())? ExcelUtil.GetCell(sheet, i, j).ToString().TrimEnd().ToUpper():"";j++;//</v>
      </c>
      <c r="Q86" s="1" t="str">
        <f t="shared" si="27"/>
        <v>ExcelUtil.SetContent(sheet, row, column++, (string)item[""]);</v>
      </c>
      <c r="R86" s="1" t="str">
        <f t="shared" si="28"/>
        <v>paramDt.Add("@" ,  );//VARCHAR</v>
      </c>
      <c r="S86" s="1" t="str">
        <f t="shared" si="29"/>
        <v>paramDt.Add("@" , master. );//</v>
      </c>
      <c r="T86" s="1" t="str">
        <f t="shared" si="18"/>
        <v>{ name: '' , sort: '' },</v>
      </c>
      <c r="U86" s="1" t="str">
        <f t="shared" si="30"/>
        <v>"":"",</v>
      </c>
      <c r="V86" s="1" t="str">
        <f t="shared" si="31"/>
        <v>this.vo. = '' ; //</v>
      </c>
    </row>
    <row r="87" spans="1:22" x14ac:dyDescent="0.4">
      <c r="A87" s="1" t="s">
        <v>63</v>
      </c>
      <c r="D87" s="1" t="s">
        <v>5</v>
      </c>
      <c r="I87" s="1" t="str">
        <f t="shared" si="19"/>
        <v xml:space="preserve">///&lt;summary&gt;
///
///&lt;/summary&gt;
public   {get; set;}
</v>
      </c>
      <c r="J87" s="1" t="str">
        <f t="shared" si="20"/>
        <v xml:space="preserve"> AND t1. = @</v>
      </c>
      <c r="K87" s="1" t="str">
        <f t="shared" si="21"/>
        <v>t1.        AS ,</v>
      </c>
      <c r="L87" s="1" t="str">
        <f t="shared" si="22"/>
        <v>,</v>
      </c>
      <c r="M87" s="1" t="str">
        <f t="shared" si="23"/>
        <v>,@</v>
      </c>
      <c r="N87" s="1" t="str">
        <f t="shared" si="24"/>
        <v xml:space="preserve"> = @, </v>
      </c>
      <c r="O87" s="1" t="str">
        <f t="shared" si="25"/>
        <v>error += ExcelUtil.CheckValue(excelVo. , "", false, (null, null, ), (true, false, false), (false, false));</v>
      </c>
      <c r="P87" s="1" t="str">
        <f t="shared" si="26"/>
        <v>excelVo. = StringUtil.IsNotEmpty(ExcelUtil.GetCell(sheet, i, j).ToString().TrimEnd())? ExcelUtil.GetCell(sheet, i, j).ToString().TrimEnd().ToUpper():"";j++;//</v>
      </c>
      <c r="Q87" s="1" t="str">
        <f t="shared" si="27"/>
        <v>ExcelUtil.SetContent(sheet, row, column++, (string)item[""]);</v>
      </c>
      <c r="R87" s="1" t="str">
        <f t="shared" si="28"/>
        <v>paramDt.Add("@" ,  );//VARCHAR</v>
      </c>
      <c r="S87" s="1" t="str">
        <f t="shared" si="29"/>
        <v>paramDt.Add("@" , master. );//</v>
      </c>
      <c r="T87" s="1" t="str">
        <f t="shared" si="18"/>
        <v>{ name: '' , sort: '' },</v>
      </c>
      <c r="U87" s="1" t="str">
        <f t="shared" si="30"/>
        <v>"":"",</v>
      </c>
      <c r="V87" s="1" t="str">
        <f t="shared" si="31"/>
        <v>this.vo. = '' ; //</v>
      </c>
    </row>
    <row r="88" spans="1:22" x14ac:dyDescent="0.4">
      <c r="A88" s="1" t="s">
        <v>63</v>
      </c>
      <c r="D88" s="1" t="s">
        <v>5</v>
      </c>
      <c r="I88" s="1" t="str">
        <f t="shared" si="19"/>
        <v xml:space="preserve">///&lt;summary&gt;
///
///&lt;/summary&gt;
public   {get; set;}
</v>
      </c>
      <c r="J88" s="1" t="str">
        <f t="shared" si="20"/>
        <v xml:space="preserve"> AND t1. = @</v>
      </c>
      <c r="K88" s="1" t="str">
        <f t="shared" si="21"/>
        <v>t1.        AS ,</v>
      </c>
      <c r="L88" s="1" t="str">
        <f t="shared" si="22"/>
        <v>,</v>
      </c>
      <c r="M88" s="1" t="str">
        <f t="shared" si="23"/>
        <v>,@</v>
      </c>
      <c r="N88" s="1" t="str">
        <f t="shared" si="24"/>
        <v xml:space="preserve"> = @, </v>
      </c>
      <c r="O88" s="1" t="str">
        <f t="shared" si="25"/>
        <v>error += ExcelUtil.CheckValue(excelVo. , "", false, (null, null, ), (true, false, false), (false, false));</v>
      </c>
      <c r="P88" s="1" t="str">
        <f t="shared" si="26"/>
        <v>excelVo. = StringUtil.IsNotEmpty(ExcelUtil.GetCell(sheet, i, j).ToString().TrimEnd())? ExcelUtil.GetCell(sheet, i, j).ToString().TrimEnd().ToUpper():"";j++;//</v>
      </c>
      <c r="Q88" s="1" t="str">
        <f t="shared" si="27"/>
        <v>ExcelUtil.SetContent(sheet, row, column++, (string)item[""]);</v>
      </c>
      <c r="R88" s="1" t="str">
        <f t="shared" si="28"/>
        <v>paramDt.Add("@" ,  );//VARCHAR</v>
      </c>
      <c r="S88" s="1" t="str">
        <f t="shared" si="29"/>
        <v>paramDt.Add("@" , master. );//</v>
      </c>
      <c r="T88" s="1" t="str">
        <f t="shared" si="18"/>
        <v>{ name: '' , sort: '' },</v>
      </c>
      <c r="U88" s="1" t="str">
        <f t="shared" si="30"/>
        <v>"":"",</v>
      </c>
      <c r="V88" s="1" t="str">
        <f t="shared" si="31"/>
        <v>this.vo. = '' ; //</v>
      </c>
    </row>
    <row r="89" spans="1:22" x14ac:dyDescent="0.4">
      <c r="D89" s="1" t="s">
        <v>6</v>
      </c>
    </row>
    <row r="90" spans="1:22" x14ac:dyDescent="0.4">
      <c r="D90" s="1" t="s">
        <v>5</v>
      </c>
    </row>
    <row r="91" spans="1:22" x14ac:dyDescent="0.4">
      <c r="D91" s="1" t="s">
        <v>6</v>
      </c>
    </row>
    <row r="92" spans="1:22" x14ac:dyDescent="0.4">
      <c r="D92" s="1" t="s">
        <v>5</v>
      </c>
    </row>
    <row r="93" spans="1:22" x14ac:dyDescent="0.4">
      <c r="D93" s="1" t="s">
        <v>5</v>
      </c>
    </row>
    <row r="94" spans="1:22" x14ac:dyDescent="0.4">
      <c r="D94" s="1" t="s">
        <v>5</v>
      </c>
    </row>
    <row r="95" spans="1:22" x14ac:dyDescent="0.4">
      <c r="D95" s="1" t="s">
        <v>5</v>
      </c>
    </row>
    <row r="96" spans="1:22" x14ac:dyDescent="0.4">
      <c r="D96" s="1" t="s">
        <v>5</v>
      </c>
    </row>
    <row r="97" spans="4:4" x14ac:dyDescent="0.4">
      <c r="D97" s="1" t="s">
        <v>9</v>
      </c>
    </row>
    <row r="98" spans="4:4" x14ac:dyDescent="0.4">
      <c r="D98" s="1" t="s">
        <v>5</v>
      </c>
    </row>
    <row r="99" spans="4:4" x14ac:dyDescent="0.4">
      <c r="D99" s="1" t="s">
        <v>9</v>
      </c>
    </row>
    <row r="100" spans="4:4" x14ac:dyDescent="0.4">
      <c r="D100" s="1" t="s">
        <v>5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B034-30E7-447D-8472-508C5BC94539}">
  <dimension ref="A1:AF100"/>
  <sheetViews>
    <sheetView zoomScaleNormal="100" workbookViewId="0">
      <selection activeCell="K5" sqref="K5:K20"/>
    </sheetView>
  </sheetViews>
  <sheetFormatPr defaultColWidth="11.453125" defaultRowHeight="13.5" x14ac:dyDescent="0.4"/>
  <cols>
    <col min="1" max="1" width="13.453125" style="1" customWidth="1"/>
    <col min="2" max="2" width="11.453125" style="1"/>
    <col min="3" max="3" width="18.90625" style="1" customWidth="1"/>
    <col min="4" max="4" width="11.453125" style="1"/>
    <col min="5" max="5" width="9" style="1" customWidth="1"/>
    <col min="6" max="8" width="11.453125" style="1"/>
    <col min="9" max="9" width="21.08984375" style="1" customWidth="1"/>
    <col min="10" max="13" width="11.453125" style="1"/>
    <col min="14" max="15" width="9.36328125" style="1" customWidth="1"/>
    <col min="16" max="16" width="16" style="1" customWidth="1"/>
    <col min="17" max="17" width="11.453125" style="1"/>
    <col min="18" max="18" width="28" style="1" customWidth="1"/>
    <col min="19" max="19" width="30.54296875" style="1" customWidth="1"/>
    <col min="20" max="20" width="35.08984375" style="1" customWidth="1"/>
    <col min="21" max="16384" width="11.453125" style="1"/>
  </cols>
  <sheetData>
    <row r="1" spans="1:32" x14ac:dyDescent="0.4">
      <c r="G1" s="1" t="s">
        <v>18</v>
      </c>
    </row>
    <row r="2" spans="1:32" x14ac:dyDescent="0.4">
      <c r="G2" s="1" t="s">
        <v>17</v>
      </c>
      <c r="H2" s="1" t="e">
        <f>" AND t1."&amp;B5&amp;" = "&amp;"@"&amp;B5&amp;CHAR(10)&amp;" AND t1."&amp;B6&amp;" = "&amp;"@"&amp;B6&amp;CHAR(10)&amp;" AND t1."&amp;B7&amp;" = "&amp;"@"&amp;B7&amp;CHAR(10)&amp;" AND t1."&amp;B8&amp;" = "&amp;"@"&amp;B8&amp;CHAR(10)&amp;" AND t1."&amp;B9&amp;" = "&amp;"@"&amp;B9&amp;CHAR(10)&amp;" AND t1."&amp;B10&amp;" = "&amp;"@"&amp;B10&amp;CHAR(10)&amp;" AND t1."&amp;B11&amp;" = "&amp;"@"&amp;B11&amp;CHAR(10)&amp;
" AND t1."&amp;B12&amp;" = "&amp;"@"&amp;B12&amp;CHAR(10)&amp;" AND t1."&amp;B13&amp;" = "&amp;"@"&amp;B13&amp;CHAR(10)&amp;" AND t1."&amp;B14&amp;" = "&amp;"@"&amp;B14&amp;CHAR(10)&amp;" AND t1."&amp;B15&amp;" = "&amp;"@"&amp;B15&amp;CHAR(10)&amp;" AND t1."&amp;B16&amp;" = "&amp;"@"&amp;B16&amp;CHAR(10)&amp;
" AND t1."&amp;B17&amp;" = "&amp;"@"&amp;B17&amp;CHAR(10)&amp;" AND t1."&amp;B18&amp;" = "&amp;"@"&amp;B18&amp;CHAR(10)&amp;" AND t1."&amp;B19&amp;" = "&amp;"@"&amp;B19&amp;CHAR(10)&amp;" AND t1."&amp;B20&amp;" = "&amp;"@"&amp;B20&amp;CHAR(10)&amp;" AND t1."&amp;B21&amp;" = "&amp;"@"&amp;B21&amp;CHAR(10)&amp;
" AND t1."&amp;B22&amp;" = "&amp;"@"&amp;B22&amp;CHAR(10)&amp;" AND t1."&amp;B23&amp;" = "&amp;"@"&amp;B23&amp;CHAR(10)&amp;" AND t1."&amp;B24&amp;" = "&amp;"@"&amp;B24&amp;CHAR(10)&amp;"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t1."&amp;B25&amp;" = "&amp;"@"&amp;B25&amp;CHAR(10)&amp;" AND t1."&amp;B26&amp;" = "&amp;"@"&amp;B26&amp;CHAR(10)&amp;" AND t1."&amp;B27&amp;" = "&amp;"@"&amp;B27&amp;CHAR(10)&amp;
" AND t1."&amp;B28&amp;" = "&amp;"@"&amp;B28&amp;CHAR(10)&amp;" AND t1."&amp;B29&amp;" = "&amp;"@"&amp;B29&amp;CHAR(10)&amp;" AND t1."&amp;B30&amp;" = "&amp;"@"&amp;B30&amp;CHAR(10)&amp;" AND t1."&amp;B31&amp;" = "&amp;"@"&amp;B31&amp;CHAR(10)&amp;" AND t1."&amp;B32&amp;" = "&amp;"@"&amp;B32&amp;CHAR(10)&amp;
" AND t1."&amp;B33&amp;" = "&amp;"@"&amp;B33&amp;CHAR(10)&amp;" AND t1."&amp;B34&amp;" = "&amp;"@"&amp;B34&amp;CHAR(10)&amp;" AND t1."&amp;B35&amp;" = "&amp;"@"&amp;B35&amp;CHAR(10)&amp;" AND t1."&amp;B36&amp;" = "&amp;"@"&amp;B36&amp;CHAR(10)&amp;" AND t1."&amp;B37&amp;" = "&amp;"@"&amp;B37&amp;CHAR(10)&amp;
" AND t1."&amp;B38&amp;" = "&amp;"@"&amp;B38&amp;CHAR(10)&amp;" AND t1."&amp;B39&amp;" = "&amp;"@"&amp;B39&amp;CHAR(10)&amp;" AND t1."&amp;B40&amp;" = "&amp;"@"&amp;B40&amp;CHAR(10)&amp;" AND t1."&amp;B41&amp;" = "&amp;"@"&amp;B41&amp;CHAR(10)&amp;" AND t1."&amp;B42&amp;" = "&amp;"@"&amp;B42&amp;CHAR(10)&amp;
" AND t1."&amp;B43&amp;" = "&amp;"@"&amp;B43&amp;CHAR(10)&amp;" AND t1."&amp;B44&amp;" = "&amp;"@"&amp;B44&amp;CHAR(10)&amp;" AND t1."&amp;B45&amp;" = "&amp;"@"&amp;B45&amp;CHAR(10)&amp;" AND t1."&amp;B46&amp;" = "&amp;"@"&amp;B46&amp;CHAR(10)&amp;" AND t1."&amp;B47&amp;" = "&amp;"@"&amp;B47&amp;CHAR(10)&amp;
" AND t1."&amp;B48&amp;" = "&amp;"@"&amp;B48&amp;CHAR(10)&amp;" AND t1."&amp;B49&amp;" = "&amp;"@"&amp;B49&amp;CHAR(10)&amp;" AND t1."&amp;B50&amp;" = "&amp;"@"&amp;B50&amp;CHAR(10)&amp;" AND t1."&amp;B51&amp;" = "&amp;"@"&amp;B51&amp;CHAR(10)&amp;" AND t1."&amp;B52&amp;" = "&amp;"@"&amp;B52&amp;CHAR(10)</f>
        <v>#REF!</v>
      </c>
    </row>
    <row r="4" spans="1:32" x14ac:dyDescent="0.4">
      <c r="A4" s="2"/>
      <c r="B4" s="2"/>
      <c r="C4" s="2"/>
      <c r="D4" s="2"/>
      <c r="E4" s="2"/>
      <c r="F4" s="2" t="s">
        <v>15</v>
      </c>
      <c r="G4" s="2" t="s">
        <v>23</v>
      </c>
      <c r="H4" s="2" t="s">
        <v>13</v>
      </c>
      <c r="I4" s="2" t="s">
        <v>14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28</v>
      </c>
      <c r="P4" s="2" t="s">
        <v>27</v>
      </c>
      <c r="Q4" s="2" t="s">
        <v>29</v>
      </c>
      <c r="R4" s="2" t="s">
        <v>16</v>
      </c>
      <c r="S4" s="2" t="s">
        <v>22</v>
      </c>
      <c r="T4" s="3" t="s">
        <v>24</v>
      </c>
      <c r="U4" s="3" t="s">
        <v>25</v>
      </c>
      <c r="V4" s="3" t="s">
        <v>26</v>
      </c>
      <c r="W4" s="3"/>
      <c r="X4" s="3"/>
      <c r="Y4" s="3"/>
      <c r="Z4" s="3"/>
      <c r="AA4" s="3"/>
      <c r="AB4" s="2"/>
      <c r="AC4" s="2"/>
      <c r="AD4" s="2"/>
      <c r="AE4" s="2"/>
      <c r="AF4" s="2"/>
    </row>
    <row r="5" spans="1:32" ht="14.5" x14ac:dyDescent="0.4">
      <c r="A5" s="1" t="s">
        <v>88</v>
      </c>
      <c r="B5" s="1" t="s">
        <v>32</v>
      </c>
      <c r="C5" s="1" t="s">
        <v>38</v>
      </c>
      <c r="D5" s="1" t="s">
        <v>5</v>
      </c>
      <c r="E5" s="4">
        <v>1</v>
      </c>
      <c r="F5" s="1" t="str">
        <f>IF(G5&lt;&gt;"",LOWER(LEFT(G5,1))&amp;RIGHT(G5,LEN(G5)-1),"")</f>
        <v>plantCd</v>
      </c>
      <c r="G5" s="1" t="str">
        <f t="shared" ref="G5:G29" si="0">SUBSTITUTE(PROPER(SUBSTITUTE(LOWER(B5),"_"," "))," ","")</f>
        <v>PlantCd</v>
      </c>
      <c r="H5" s="1" t="str">
        <f t="shared" ref="H5:H10" si="1">IF(D5="VARCHAR","string",IF(D5="DECIMAL","decimal?",IF(D5="DATETIME","DateTime?",IF(D5="INT","int","string"))))</f>
        <v>string</v>
      </c>
      <c r="I5" s="1" t="str">
        <f>"///&lt;summary&gt;"&amp;CHAR(10)&amp;"///"&amp;TRIM(C5)&amp;CHAR(10)&amp;"///&lt;/summary&gt;"&amp;CHAR(10)&amp;"public "&amp;H5&amp;" " &amp;TRIM(G5)&amp;" {get; set;}"&amp;CHAR(10)</f>
        <v xml:space="preserve">///&lt;summary&gt;
///工廠區分
///&lt;/summary&gt;
public string PlantCd {get; set;}
</v>
      </c>
      <c r="J5" s="1" t="str">
        <f t="shared" ref="J5:J68" si="2">" AND t1."&amp;B5&amp;" = "&amp;"@"&amp;B5</f>
        <v xml:space="preserve"> AND t1.PLANT_CD = @PLANT_CD</v>
      </c>
      <c r="K5" s="1" t="str">
        <f t="shared" ref="K5:K68" si="3">"t1."&amp;B5&amp;"        "&amp;"AS "&amp;G5&amp;","</f>
        <v>t1.PLANT_CD        AS PlantCd,</v>
      </c>
      <c r="L5" s="1" t="str">
        <f t="shared" ref="L5:L68" si="4">","&amp; B5</f>
        <v>,PLANT_CD</v>
      </c>
      <c r="M5" s="1" t="str">
        <f t="shared" ref="M5:M68" si="5">",@"&amp;B5</f>
        <v>,@PLANT_CD</v>
      </c>
      <c r="N5" s="1" t="str">
        <f t="shared" ref="N5:N68" si="6">B5&amp;" = "&amp;"@"&amp;B5&amp;", "</f>
        <v xml:space="preserve">PLANT_CD = @PLANT_CD, </v>
      </c>
      <c r="O5" s="1" t="str">
        <f>"error += ExcelUtil.CheckValue("&amp; IF(LOWER(D5)="decimal","excelVo."&amp;G5&amp;".ToString() ","excelVo."&amp;G5)  &amp;" , "&amp; """" &amp; TRIM(C5)&amp;""""&amp;", false, (null, null, "&amp;E5&amp;"), ("&amp;IF(LOWER(D5)="decimal","false","true")&amp;", false, "&amp;IF(LOWER(D5)="decimal","true","false")&amp;"), (false, false));"</f>
        <v>error += ExcelUtil.CheckValue(excelVo.PlantCd , "工廠區分", false, (null, null, 1), (true, false, false), (false, false));</v>
      </c>
      <c r="P5" s="1" t="str">
        <f>"excelVo."&amp; G5&amp; " = StringUtil.IsNotEmpty(ExcelUtil.GetCell(sheet, i, j).ToString().TrimEnd())? ExcelUtil.GetCell(sheet, i, j).ToString().TrimEnd().ToUpper():"&amp; """" &amp; """" &amp;";j++;" &amp;"//"&amp;C5</f>
        <v>excelVo.PlantCd = StringUtil.IsNotEmpty(ExcelUtil.GetCell(sheet, i, j).ToString().TrimEnd())? ExcelUtil.GetCell(sheet, i, j).ToString().TrimEnd().ToUpper():"";j++;//工廠區分</v>
      </c>
      <c r="Q5" s="1" t="str">
        <f>"ExcelUtil.SetContent(sheet, row, column++, (string)item["&amp;""""&amp;F5 &amp;""""&amp;"]);"</f>
        <v>ExcelUtil.SetContent(sheet, row, column++, (string)item["plantCd"]);</v>
      </c>
      <c r="R5" s="1" t="str">
        <f>"paramDt.Add("&amp; """" &amp;"@"&amp; B5&amp; """" &amp;" , "&amp; G5 &amp;" );//"&amp;D5</f>
        <v>paramDt.Add("@PLANT_CD" , PlantCd );//VARCHAR</v>
      </c>
      <c r="S5" s="1" t="str">
        <f>"paramDt.Add("&amp; """" &amp;"@"&amp; B5&amp; """" &amp;" , master."&amp; G5 &amp;" );//"&amp;C5</f>
        <v>paramDt.Add("@PLANT_CD" , master.PlantCd );//工廠區分</v>
      </c>
      <c r="T5" s="1" t="str">
        <f>"{ name: '"&amp;F5&amp;"' , sort: '"&amp;B5&amp;"' },"</f>
        <v>{ name: 'plantCd' , sort: 'PLANT_CD' },</v>
      </c>
      <c r="U5" s="1" t="str">
        <f>""""&amp;F5&amp;""""&amp;":"&amp;""""&amp;TRIM(C5)&amp;""""&amp;","</f>
        <v>"plantCd":"工廠區分",</v>
      </c>
      <c r="V5" s="1" t="str">
        <f>IF(LOWER(D5)="decimal","this.vo."&amp;F5&amp;" = "&amp;0,"this.vo."&amp;F5&amp;" = ''")&amp;" ; //"&amp;TRIM(C5)</f>
        <v>this.vo.plantCd = '' ; //工廠區分</v>
      </c>
    </row>
    <row r="6" spans="1:32" ht="14.5" x14ac:dyDescent="0.4">
      <c r="A6" s="1" t="s">
        <v>88</v>
      </c>
      <c r="B6" s="1" t="s">
        <v>87</v>
      </c>
      <c r="C6" s="1" t="s">
        <v>76</v>
      </c>
      <c r="D6" s="1" t="s">
        <v>5</v>
      </c>
      <c r="E6" s="5">
        <v>8</v>
      </c>
      <c r="F6" s="1" t="str">
        <f t="shared" ref="F6:F29" si="7">IF(G6&lt;&gt;"",LOWER(LEFT(G6,1))&amp;RIGHT(G6,LEN(G6)-1),"")</f>
        <v>wkDt</v>
      </c>
      <c r="G6" s="1" t="str">
        <f t="shared" si="0"/>
        <v>WkDt</v>
      </c>
      <c r="H6" s="1" t="str">
        <f t="shared" si="1"/>
        <v>string</v>
      </c>
      <c r="I6" s="1" t="str">
        <f t="shared" ref="I6:I58" si="8">"///&lt;summary&gt;"&amp;CHAR(10)&amp;"///"&amp;TRIM(C6)&amp;CHAR(10)&amp;"///&lt;/summary&gt;"&amp;CHAR(10)&amp;"public "&amp;H6&amp;" " &amp;TRIM(G6)&amp;" {get; set;}"&amp;CHAR(10)</f>
        <v xml:space="preserve">///&lt;summary&gt;
///日期
///&lt;/summary&gt;
public string WkDt {get; set;}
</v>
      </c>
      <c r="J6" s="1" t="str">
        <f t="shared" si="2"/>
        <v xml:space="preserve"> AND t1.WK_DT = @WK_DT</v>
      </c>
      <c r="K6" s="1" t="str">
        <f t="shared" si="3"/>
        <v>t1.WK_DT        AS WkDt,</v>
      </c>
      <c r="L6" s="1" t="str">
        <f t="shared" si="4"/>
        <v>,WK_DT</v>
      </c>
      <c r="M6" s="1" t="str">
        <f t="shared" si="5"/>
        <v>,@WK_DT</v>
      </c>
      <c r="N6" s="1" t="str">
        <f t="shared" si="6"/>
        <v xml:space="preserve">WK_DT = @WK_DT, </v>
      </c>
      <c r="O6" s="1" t="str">
        <f t="shared" ref="O6:O69" si="9">"error += ExcelUtil.CheckValue("&amp; IF(LOWER(D6)="decimal","excelVo."&amp;G6&amp;".ToString() ","excelVo."&amp;G6)  &amp;" , "&amp; """" &amp; TRIM(C6)&amp;""""&amp;", false, (null, null, "&amp;E6&amp;"), ("&amp;IF(LOWER(D6)="decimal","false","true")&amp;", false, "&amp;IF(LOWER(D6)="decimal","true","false")&amp;"), (false, false));"</f>
        <v>error += ExcelUtil.CheckValue(excelVo.WkDt , "日期", false, (null, null, 8), (true, false, false), (false, false));</v>
      </c>
      <c r="P6" s="1" t="str">
        <f t="shared" ref="P6:P69" si="10">"excelVo."&amp; G6&amp; " = StringUtil.IsNotEmpty(ExcelUtil.GetCell(sheet, i, j).ToString().TrimEnd())? ExcelUtil.GetCell(sheet, i, j).ToString().TrimEnd().ToUpper():"&amp; """" &amp; """" &amp;";j++;" &amp;"//"&amp;C6</f>
        <v>excelVo.WkDt = StringUtil.IsNotEmpty(ExcelUtil.GetCell(sheet, i, j).ToString().TrimEnd())? ExcelUtil.GetCell(sheet, i, j).ToString().TrimEnd().ToUpper():"";j++;//日期</v>
      </c>
      <c r="Q6" s="1" t="str">
        <f t="shared" ref="Q6:Q69" si="11">"ExcelUtil.SetContent(sheet, row, column++, (string)item["&amp;""""&amp;F6 &amp;""""&amp;"]);"</f>
        <v>ExcelUtil.SetContent(sheet, row, column++, (string)item["wkDt"]);</v>
      </c>
      <c r="R6" s="1" t="str">
        <f t="shared" ref="R6:R69" si="12">"paramDt.Add("&amp; """" &amp;"@"&amp; B6&amp; """" &amp;" , "&amp; G6 &amp;" );//"&amp;D6</f>
        <v>paramDt.Add("@WK_DT" , WkDt );//VARCHAR</v>
      </c>
      <c r="S6" s="1" t="str">
        <f t="shared" ref="S6:S69" si="13">"paramDt.Add("&amp; """" &amp;"@"&amp; B6&amp; """" &amp;" , master."&amp; G6 &amp;" );//"&amp;C6</f>
        <v>paramDt.Add("@WK_DT" , master.WkDt );//日期</v>
      </c>
      <c r="T6" s="1" t="str">
        <f t="shared" ref="T6:T29" si="14">"{ name: '"&amp;F6&amp;"' , sort: '"&amp;B6&amp;"' },"</f>
        <v>{ name: 'wkDt' , sort: 'WK_DT' },</v>
      </c>
      <c r="U6" s="1" t="str">
        <f t="shared" ref="U6:U69" si="15">""""&amp;F6&amp;""""&amp;":"&amp;""""&amp;TRIM(C6)&amp;""""&amp;","</f>
        <v>"wkDt":"日期",</v>
      </c>
      <c r="V6" s="1" t="str">
        <f t="shared" ref="V6:V69" si="16">IF(LOWER(D6)="decimal","this.vo."&amp;F6&amp;" = "&amp;0,"this.vo."&amp;F6&amp;" = ''")&amp;" ; //"&amp;TRIM(C6)</f>
        <v>this.vo.wkDt = '' ; //日期</v>
      </c>
    </row>
    <row r="7" spans="1:32" ht="14.5" x14ac:dyDescent="0.4">
      <c r="A7" s="1" t="s">
        <v>88</v>
      </c>
      <c r="B7" s="1" t="s">
        <v>89</v>
      </c>
      <c r="C7" s="1" t="s">
        <v>94</v>
      </c>
      <c r="D7" s="1" t="s">
        <v>5</v>
      </c>
      <c r="E7" s="5">
        <v>1</v>
      </c>
      <c r="F7" s="1" t="str">
        <f t="shared" si="7"/>
        <v>dockCd</v>
      </c>
      <c r="G7" s="1" t="str">
        <f t="shared" si="0"/>
        <v>DockCd</v>
      </c>
      <c r="H7" s="1" t="str">
        <f t="shared" si="1"/>
        <v>string</v>
      </c>
      <c r="I7" s="1" t="str">
        <f t="shared" si="8"/>
        <v xml:space="preserve">///&lt;summary&gt;
///碼頭NO
///&lt;/summary&gt;
public string DockCd {get; set;}
</v>
      </c>
      <c r="J7" s="1" t="str">
        <f t="shared" si="2"/>
        <v xml:space="preserve"> AND t1.DOCK_CD = @DOCK_CD</v>
      </c>
      <c r="K7" s="1" t="str">
        <f t="shared" si="3"/>
        <v>t1.DOCK_CD        AS DockCd,</v>
      </c>
      <c r="L7" s="1" t="str">
        <f t="shared" si="4"/>
        <v>,DOCK_CD</v>
      </c>
      <c r="M7" s="1" t="str">
        <f t="shared" si="5"/>
        <v>,@DOCK_CD</v>
      </c>
      <c r="N7" s="1" t="str">
        <f t="shared" si="6"/>
        <v xml:space="preserve">DOCK_CD = @DOCK_CD, </v>
      </c>
      <c r="O7" s="1" t="str">
        <f t="shared" si="9"/>
        <v>error += ExcelUtil.CheckValue(excelVo.DockCd , "碼頭NO", false, (null, null, 1), (true, false, false), (false, false));</v>
      </c>
      <c r="P7" s="1" t="str">
        <f t="shared" si="10"/>
        <v>excelVo.DockCd = StringUtil.IsNotEmpty(ExcelUtil.GetCell(sheet, i, j).ToString().TrimEnd())? ExcelUtil.GetCell(sheet, i, j).ToString().TrimEnd().ToUpper():"";j++;//碼頭NO</v>
      </c>
      <c r="Q7" s="1" t="str">
        <f t="shared" si="11"/>
        <v>ExcelUtil.SetContent(sheet, row, column++, (string)item["dockCd"]);</v>
      </c>
      <c r="R7" s="1" t="str">
        <f t="shared" si="12"/>
        <v>paramDt.Add("@DOCK_CD" , DockCd );//VARCHAR</v>
      </c>
      <c r="S7" s="1" t="str">
        <f t="shared" si="13"/>
        <v>paramDt.Add("@DOCK_CD" , master.DockCd );//碼頭NO</v>
      </c>
      <c r="T7" s="1" t="str">
        <f t="shared" si="14"/>
        <v>{ name: 'dockCd' , sort: 'DOCK_CD' },</v>
      </c>
      <c r="U7" s="1" t="str">
        <f t="shared" si="15"/>
        <v>"dockCd":"碼頭NO",</v>
      </c>
      <c r="V7" s="1" t="str">
        <f t="shared" si="16"/>
        <v>this.vo.dockCd = '' ; //碼頭NO</v>
      </c>
    </row>
    <row r="8" spans="1:32" ht="14.5" x14ac:dyDescent="0.4">
      <c r="A8" s="1" t="s">
        <v>88</v>
      </c>
      <c r="B8" s="1" t="s">
        <v>64</v>
      </c>
      <c r="C8" s="1" t="s">
        <v>77</v>
      </c>
      <c r="D8" s="1" t="s">
        <v>5</v>
      </c>
      <c r="E8" s="5">
        <v>1</v>
      </c>
      <c r="F8" s="1" t="str">
        <f t="shared" si="7"/>
        <v>shiftCd</v>
      </c>
      <c r="G8" s="1" t="str">
        <f t="shared" si="0"/>
        <v>ShiftCd</v>
      </c>
      <c r="H8" s="1" t="str">
        <f t="shared" si="1"/>
        <v>string</v>
      </c>
      <c r="I8" s="1" t="str">
        <f t="shared" si="8"/>
        <v xml:space="preserve">///&lt;summary&gt;
///直別
///&lt;/summary&gt;
public string ShiftCd {get; set;}
</v>
      </c>
      <c r="J8" s="1" t="str">
        <f t="shared" si="2"/>
        <v xml:space="preserve"> AND t1.SHIFT_CD = @SHIFT_CD</v>
      </c>
      <c r="K8" s="1" t="str">
        <f t="shared" si="3"/>
        <v>t1.SHIFT_CD        AS ShiftCd,</v>
      </c>
      <c r="L8" s="1" t="str">
        <f t="shared" si="4"/>
        <v>,SHIFT_CD</v>
      </c>
      <c r="M8" s="1" t="str">
        <f t="shared" si="5"/>
        <v>,@SHIFT_CD</v>
      </c>
      <c r="N8" s="1" t="str">
        <f t="shared" si="6"/>
        <v xml:space="preserve">SHIFT_CD = @SHIFT_CD, </v>
      </c>
      <c r="O8" s="1" t="str">
        <f t="shared" si="9"/>
        <v>error += ExcelUtil.CheckValue(excelVo.ShiftCd , "直別", false, (null, null, 1), (true, false, false), (false, false));</v>
      </c>
      <c r="P8" s="1" t="str">
        <f t="shared" si="10"/>
        <v>excelVo.ShiftCd = StringUtil.IsNotEmpty(ExcelUtil.GetCell(sheet, i, j).ToString().TrimEnd())? ExcelUtil.GetCell(sheet, i, j).ToString().TrimEnd().ToUpper():"";j++;//直別</v>
      </c>
      <c r="Q8" s="1" t="str">
        <f t="shared" si="11"/>
        <v>ExcelUtil.SetContent(sheet, row, column++, (string)item["shiftCd"]);</v>
      </c>
      <c r="R8" s="1" t="str">
        <f t="shared" si="12"/>
        <v>paramDt.Add("@SHIFT_CD" , ShiftCd );//VARCHAR</v>
      </c>
      <c r="S8" s="1" t="str">
        <f t="shared" si="13"/>
        <v>paramDt.Add("@SHIFT_CD" , master.ShiftCd );//直別</v>
      </c>
      <c r="T8" s="1" t="str">
        <f t="shared" si="14"/>
        <v>{ name: 'shiftCd' , sort: 'SHIFT_CD' },</v>
      </c>
      <c r="U8" s="1" t="str">
        <f t="shared" si="15"/>
        <v>"shiftCd":"直別",</v>
      </c>
      <c r="V8" s="1" t="str">
        <f t="shared" si="16"/>
        <v>this.vo.shiftCd = '' ; //直別</v>
      </c>
    </row>
    <row r="9" spans="1:32" ht="14.5" x14ac:dyDescent="0.4">
      <c r="A9" s="1" t="s">
        <v>88</v>
      </c>
      <c r="B9" s="1" t="s">
        <v>90</v>
      </c>
      <c r="C9" s="1" t="s">
        <v>95</v>
      </c>
      <c r="D9" s="1" t="s">
        <v>5</v>
      </c>
      <c r="E9" s="5">
        <v>20</v>
      </c>
      <c r="F9" s="1" t="str">
        <f t="shared" si="7"/>
        <v>cntrNo</v>
      </c>
      <c r="G9" s="1" t="str">
        <f t="shared" si="0"/>
        <v>CntrNo</v>
      </c>
      <c r="H9" s="1" t="str">
        <f t="shared" si="1"/>
        <v>string</v>
      </c>
      <c r="I9" s="1" t="str">
        <f t="shared" si="8"/>
        <v xml:space="preserve">///&lt;summary&gt;
///貨櫃NO
///&lt;/summary&gt;
public string CntrNo {get; set;}
</v>
      </c>
      <c r="J9" s="1" t="str">
        <f t="shared" si="2"/>
        <v xml:space="preserve"> AND t1.CNTR_NO = @CNTR_NO</v>
      </c>
      <c r="K9" s="1" t="str">
        <f t="shared" si="3"/>
        <v>t1.CNTR_NO        AS CntrNo,</v>
      </c>
      <c r="L9" s="1" t="str">
        <f t="shared" si="4"/>
        <v>,CNTR_NO</v>
      </c>
      <c r="M9" s="1" t="str">
        <f t="shared" si="5"/>
        <v>,@CNTR_NO</v>
      </c>
      <c r="N9" s="1" t="str">
        <f t="shared" si="6"/>
        <v xml:space="preserve">CNTR_NO = @CNTR_NO, </v>
      </c>
      <c r="O9" s="1" t="str">
        <f t="shared" si="9"/>
        <v>error += ExcelUtil.CheckValue(excelVo.CntrNo , "貨櫃NO", false, (null, null, 20), (true, false, false), (false, false));</v>
      </c>
      <c r="P9" s="1" t="str">
        <f t="shared" si="10"/>
        <v>excelVo.CntrNo = StringUtil.IsNotEmpty(ExcelUtil.GetCell(sheet, i, j).ToString().TrimEnd())? ExcelUtil.GetCell(sheet, i, j).ToString().TrimEnd().ToUpper():"";j++;//貨櫃NO</v>
      </c>
      <c r="Q9" s="1" t="str">
        <f t="shared" si="11"/>
        <v>ExcelUtil.SetContent(sheet, row, column++, (string)item["cntrNo"]);</v>
      </c>
      <c r="R9" s="1" t="str">
        <f t="shared" si="12"/>
        <v>paramDt.Add("@CNTR_NO" , CntrNo );//VARCHAR</v>
      </c>
      <c r="S9" s="1" t="str">
        <f t="shared" si="13"/>
        <v>paramDt.Add("@CNTR_NO" , master.CntrNo );//貨櫃NO</v>
      </c>
      <c r="T9" s="1" t="str">
        <f t="shared" si="14"/>
        <v>{ name: 'cntrNo' , sort: 'CNTR_NO' },</v>
      </c>
      <c r="U9" s="1" t="str">
        <f t="shared" si="15"/>
        <v>"cntrNo":"貨櫃NO",</v>
      </c>
      <c r="V9" s="1" t="str">
        <f t="shared" si="16"/>
        <v>this.vo.cntrNo = '' ; //貨櫃NO</v>
      </c>
    </row>
    <row r="10" spans="1:32" ht="14.5" x14ac:dyDescent="0.4">
      <c r="A10" s="1" t="s">
        <v>88</v>
      </c>
      <c r="B10" s="1" t="s">
        <v>91</v>
      </c>
      <c r="C10" s="1" t="s">
        <v>96</v>
      </c>
      <c r="D10" s="1" t="s">
        <v>5</v>
      </c>
      <c r="E10" s="5">
        <v>20</v>
      </c>
      <c r="F10" s="1" t="str">
        <f t="shared" si="7"/>
        <v>cntrSn</v>
      </c>
      <c r="G10" s="1" t="str">
        <f t="shared" si="0"/>
        <v>CntrSn</v>
      </c>
      <c r="H10" s="1" t="str">
        <f t="shared" si="1"/>
        <v>string</v>
      </c>
      <c r="I10" s="1" t="str">
        <f t="shared" si="8"/>
        <v xml:space="preserve">///&lt;summary&gt;
///貨櫃連番
///&lt;/summary&gt;
public string CntrSn {get; set;}
</v>
      </c>
      <c r="J10" s="1" t="str">
        <f t="shared" si="2"/>
        <v xml:space="preserve"> AND t1.CNTR_SN = @CNTR_SN</v>
      </c>
      <c r="K10" s="1" t="str">
        <f t="shared" si="3"/>
        <v>t1.CNTR_SN        AS CntrSn,</v>
      </c>
      <c r="L10" s="1" t="str">
        <f t="shared" si="4"/>
        <v>,CNTR_SN</v>
      </c>
      <c r="M10" s="1" t="str">
        <f t="shared" si="5"/>
        <v>,@CNTR_SN</v>
      </c>
      <c r="N10" s="1" t="str">
        <f t="shared" si="6"/>
        <v xml:space="preserve">CNTR_SN = @CNTR_SN, </v>
      </c>
      <c r="O10" s="1" t="str">
        <f t="shared" si="9"/>
        <v>error += ExcelUtil.CheckValue(excelVo.CntrSn , "貨櫃連番", false, (null, null, 20), (true, false, false), (false, false));</v>
      </c>
      <c r="P10" s="1" t="str">
        <f t="shared" si="10"/>
        <v>excelVo.CntrSn = StringUtil.IsNotEmpty(ExcelUtil.GetCell(sheet, i, j).ToString().TrimEnd())? ExcelUtil.GetCell(sheet, i, j).ToString().TrimEnd().ToUpper():"";j++;//貨櫃連番</v>
      </c>
      <c r="Q10" s="1" t="str">
        <f t="shared" si="11"/>
        <v>ExcelUtil.SetContent(sheet, row, column++, (string)item["cntrSn"]);</v>
      </c>
      <c r="R10" s="1" t="str">
        <f t="shared" si="12"/>
        <v>paramDt.Add("@CNTR_SN" , CntrSn );//VARCHAR</v>
      </c>
      <c r="S10" s="1" t="str">
        <f t="shared" si="13"/>
        <v>paramDt.Add("@CNTR_SN" , master.CntrSn );//貨櫃連番</v>
      </c>
      <c r="T10" s="1" t="str">
        <f t="shared" si="14"/>
        <v>{ name: 'cntrSn' , sort: 'CNTR_SN' },</v>
      </c>
      <c r="U10" s="1" t="str">
        <f t="shared" si="15"/>
        <v>"cntrSn":"貨櫃連番",</v>
      </c>
      <c r="V10" s="1" t="str">
        <f t="shared" si="16"/>
        <v>this.vo.cntrSn = '' ; //貨櫃連番</v>
      </c>
    </row>
    <row r="11" spans="1:32" ht="14.5" x14ac:dyDescent="0.4">
      <c r="A11" s="1" t="s">
        <v>88</v>
      </c>
      <c r="B11" s="1" t="s">
        <v>92</v>
      </c>
      <c r="C11" s="1" t="s">
        <v>97</v>
      </c>
      <c r="D11" s="1" t="s">
        <v>42</v>
      </c>
      <c r="E11" s="5">
        <v>4</v>
      </c>
      <c r="F11" s="1" t="str">
        <f t="shared" si="7"/>
        <v>unCntrSort</v>
      </c>
      <c r="G11" s="1" t="str">
        <f t="shared" si="0"/>
        <v>UnCntrSort</v>
      </c>
      <c r="H11" s="1" t="str">
        <f>IF(D11="VARCHAR","string",IF(D11="DECIMAL","decimal?",IF(D11="DATETIME","DateTime?",IF(D11="INT","int","string"))))</f>
        <v>int</v>
      </c>
      <c r="I11" s="1" t="str">
        <f t="shared" si="8"/>
        <v xml:space="preserve">///&lt;summary&gt;
///下櫃順序
///&lt;/summary&gt;
public int UnCntrSort {get; set;}
</v>
      </c>
      <c r="J11" s="1" t="str">
        <f t="shared" si="2"/>
        <v xml:space="preserve"> AND t1.UN_CNTR_SORT = @UN_CNTR_SORT</v>
      </c>
      <c r="K11" s="1" t="str">
        <f t="shared" si="3"/>
        <v>t1.UN_CNTR_SORT        AS UnCntrSort,</v>
      </c>
      <c r="L11" s="1" t="str">
        <f t="shared" si="4"/>
        <v>,UN_CNTR_SORT</v>
      </c>
      <c r="M11" s="1" t="str">
        <f t="shared" si="5"/>
        <v>,@UN_CNTR_SORT</v>
      </c>
      <c r="N11" s="1" t="str">
        <f t="shared" si="6"/>
        <v xml:space="preserve">UN_CNTR_SORT = @UN_CNTR_SORT, </v>
      </c>
      <c r="O11" s="1" t="str">
        <f t="shared" si="9"/>
        <v>error += ExcelUtil.CheckValue(excelVo.UnCntrSort , "下櫃順序", false, (null, null, 4), (true, false, false), (false, false));</v>
      </c>
      <c r="P11" s="1" t="str">
        <f t="shared" si="10"/>
        <v>excelVo.UnCntrSort = StringUtil.IsNotEmpty(ExcelUtil.GetCell(sheet, i, j).ToString().TrimEnd())? ExcelUtil.GetCell(sheet, i, j).ToString().TrimEnd().ToUpper():"";j++;//下櫃順序</v>
      </c>
      <c r="Q11" s="1" t="str">
        <f t="shared" si="11"/>
        <v>ExcelUtil.SetContent(sheet, row, column++, (string)item["unCntrSort"]);</v>
      </c>
      <c r="R11" s="1" t="str">
        <f t="shared" si="12"/>
        <v>paramDt.Add("@UN_CNTR_SORT" , UnCntrSort );//INT</v>
      </c>
      <c r="S11" s="1" t="str">
        <f t="shared" si="13"/>
        <v>paramDt.Add("@UN_CNTR_SORT" , master.UnCntrSort );//下櫃順序</v>
      </c>
      <c r="T11" s="1" t="str">
        <f t="shared" si="14"/>
        <v>{ name: 'unCntrSort' , sort: 'UN_CNTR_SORT' },</v>
      </c>
      <c r="U11" s="1" t="str">
        <f t="shared" si="15"/>
        <v>"unCntrSort":"下櫃順序",</v>
      </c>
      <c r="V11" s="1" t="str">
        <f t="shared" si="16"/>
        <v>this.vo.unCntrSort = '' ; //下櫃順序</v>
      </c>
    </row>
    <row r="12" spans="1:32" ht="14.5" x14ac:dyDescent="0.4">
      <c r="A12" s="1" t="s">
        <v>88</v>
      </c>
      <c r="B12" s="1" t="s">
        <v>33</v>
      </c>
      <c r="C12" s="1" t="s">
        <v>39</v>
      </c>
      <c r="D12" s="1" t="s">
        <v>30</v>
      </c>
      <c r="E12" s="5">
        <v>3</v>
      </c>
      <c r="F12" s="1" t="str">
        <f t="shared" si="7"/>
        <v>countryCd</v>
      </c>
      <c r="G12" s="1" t="str">
        <f t="shared" si="0"/>
        <v>CountryCd</v>
      </c>
      <c r="H12" s="1" t="str">
        <f t="shared" ref="H12:H58" si="17">IF(D12="VARCHAR","string",IF(D12="DECIMAL","decimal?",IF(D12="DATETIME","DateTime?",IF(D12="INT","int","string"))))</f>
        <v>string</v>
      </c>
      <c r="I12" s="1" t="str">
        <f t="shared" si="8"/>
        <v xml:space="preserve">///&lt;summary&gt;
///國別
///&lt;/summary&gt;
public string CountryCd {get; set;}
</v>
      </c>
      <c r="J12" s="1" t="str">
        <f t="shared" si="2"/>
        <v xml:space="preserve"> AND t1.COUNTRY_CD = @COUNTRY_CD</v>
      </c>
      <c r="K12" s="1" t="str">
        <f t="shared" si="3"/>
        <v>t1.COUNTRY_CD        AS CountryCd,</v>
      </c>
      <c r="L12" s="1" t="str">
        <f t="shared" si="4"/>
        <v>,COUNTRY_CD</v>
      </c>
      <c r="M12" s="1" t="str">
        <f t="shared" si="5"/>
        <v>,@COUNTRY_CD</v>
      </c>
      <c r="N12" s="1" t="str">
        <f t="shared" si="6"/>
        <v xml:space="preserve">COUNTRY_CD = @COUNTRY_CD, </v>
      </c>
      <c r="O12" s="1" t="str">
        <f t="shared" si="9"/>
        <v>error += ExcelUtil.CheckValue(excelVo.CountryCd , "國別", false, (null, null, 3), (true, false, false), (false, false));</v>
      </c>
      <c r="P12" s="1" t="str">
        <f t="shared" si="10"/>
        <v>excelVo.CountryCd = StringUtil.IsNotEmpty(ExcelUtil.GetCell(sheet, i, j).ToString().TrimEnd())? ExcelUtil.GetCell(sheet, i, j).ToString().TrimEnd().ToUpper():"";j++;//國別</v>
      </c>
      <c r="Q12" s="1" t="str">
        <f t="shared" si="11"/>
        <v>ExcelUtil.SetContent(sheet, row, column++, (string)item["countryCd"]);</v>
      </c>
      <c r="R12" s="1" t="str">
        <f t="shared" si="12"/>
        <v>paramDt.Add("@COUNTRY_CD" , CountryCd );//NVARCHAR</v>
      </c>
      <c r="S12" s="1" t="str">
        <f t="shared" si="13"/>
        <v>paramDt.Add("@COUNTRY_CD" , master.CountryCd );//國別</v>
      </c>
      <c r="T12" s="1" t="str">
        <f t="shared" si="14"/>
        <v>{ name: 'countryCd' , sort: 'COUNTRY_CD' },</v>
      </c>
      <c r="U12" s="1" t="str">
        <f t="shared" si="15"/>
        <v>"countryCd":"國別",</v>
      </c>
      <c r="V12" s="1" t="str">
        <f t="shared" si="16"/>
        <v>this.vo.countryCd = '' ; //國別</v>
      </c>
    </row>
    <row r="13" spans="1:32" ht="14.5" x14ac:dyDescent="0.4">
      <c r="A13" s="1" t="s">
        <v>88</v>
      </c>
      <c r="B13" s="1" t="s">
        <v>93</v>
      </c>
      <c r="C13" s="1" t="s">
        <v>98</v>
      </c>
      <c r="D13" s="1" t="s">
        <v>5</v>
      </c>
      <c r="E13" s="5">
        <v>1</v>
      </c>
      <c r="F13" s="1" t="str">
        <f t="shared" si="7"/>
        <v>cntrType</v>
      </c>
      <c r="G13" s="1" t="str">
        <f t="shared" si="0"/>
        <v>CntrType</v>
      </c>
      <c r="H13" s="1" t="str">
        <f t="shared" si="17"/>
        <v>string</v>
      </c>
      <c r="I13" s="1" t="str">
        <f t="shared" si="8"/>
        <v xml:space="preserve">///&lt;summary&gt;
///櫃別
///&lt;/summary&gt;
public string CntrType {get; set;}
</v>
      </c>
      <c r="J13" s="1" t="str">
        <f t="shared" si="2"/>
        <v xml:space="preserve"> AND t1.CNTR_TYPE = @CNTR_TYPE</v>
      </c>
      <c r="K13" s="1" t="str">
        <f t="shared" si="3"/>
        <v>t1.CNTR_TYPE        AS CntrType,</v>
      </c>
      <c r="L13" s="1" t="str">
        <f t="shared" si="4"/>
        <v>,CNTR_TYPE</v>
      </c>
      <c r="M13" s="1" t="str">
        <f t="shared" si="5"/>
        <v>,@CNTR_TYPE</v>
      </c>
      <c r="N13" s="1" t="str">
        <f t="shared" si="6"/>
        <v xml:space="preserve">CNTR_TYPE = @CNTR_TYPE, </v>
      </c>
      <c r="O13" s="1" t="str">
        <f t="shared" si="9"/>
        <v>error += ExcelUtil.CheckValue(excelVo.CntrType , "櫃別", false, (null, null, 1), (true, false, false), (false, false));</v>
      </c>
      <c r="P13" s="1" t="str">
        <f t="shared" si="10"/>
        <v>excelVo.CntrType = StringUtil.IsNotEmpty(ExcelUtil.GetCell(sheet, i, j).ToString().TrimEnd())? ExcelUtil.GetCell(sheet, i, j).ToString().TrimEnd().ToUpper():"";j++;//櫃別</v>
      </c>
      <c r="Q13" s="1" t="str">
        <f t="shared" si="11"/>
        <v>ExcelUtil.SetContent(sheet, row, column++, (string)item["cntrType"]);</v>
      </c>
      <c r="R13" s="1" t="str">
        <f t="shared" si="12"/>
        <v>paramDt.Add("@CNTR_TYPE" , CntrType );//VARCHAR</v>
      </c>
      <c r="S13" s="1" t="str">
        <f t="shared" si="13"/>
        <v>paramDt.Add("@CNTR_TYPE" , master.CntrType );//櫃別</v>
      </c>
      <c r="T13" s="1" t="str">
        <f t="shared" si="14"/>
        <v>{ name: 'cntrType' , sort: 'CNTR_TYPE' },</v>
      </c>
      <c r="U13" s="1" t="str">
        <f t="shared" si="15"/>
        <v>"cntrType":"櫃別",</v>
      </c>
      <c r="V13" s="1" t="str">
        <f t="shared" si="16"/>
        <v>this.vo.cntrType = '' ; //櫃別</v>
      </c>
    </row>
    <row r="14" spans="1:32" ht="14.5" x14ac:dyDescent="0.4">
      <c r="A14" s="1" t="s">
        <v>88</v>
      </c>
      <c r="B14" s="1" t="s">
        <v>71</v>
      </c>
      <c r="C14" s="1" t="s">
        <v>99</v>
      </c>
      <c r="D14" s="1" t="s">
        <v>42</v>
      </c>
      <c r="E14" s="5">
        <v>4</v>
      </c>
      <c r="F14" s="1" t="str">
        <f t="shared" si="7"/>
        <v>planTimes</v>
      </c>
      <c r="G14" s="1" t="str">
        <f t="shared" si="0"/>
        <v>PlanTimes</v>
      </c>
      <c r="H14" s="1" t="str">
        <f t="shared" si="17"/>
        <v>int</v>
      </c>
      <c r="I14" s="1" t="str">
        <f t="shared" si="8"/>
        <v xml:space="preserve">///&lt;summary&gt;
///理論作業時間
///&lt;/summary&gt;
public int PlanTimes {get; set;}
</v>
      </c>
      <c r="J14" s="1" t="str">
        <f t="shared" si="2"/>
        <v xml:space="preserve"> AND t1.PLAN_TIMES = @PLAN_TIMES</v>
      </c>
      <c r="K14" s="1" t="str">
        <f t="shared" si="3"/>
        <v>t1.PLAN_TIMES        AS PlanTimes,</v>
      </c>
      <c r="L14" s="1" t="str">
        <f t="shared" si="4"/>
        <v>,PLAN_TIMES</v>
      </c>
      <c r="M14" s="1" t="str">
        <f t="shared" si="5"/>
        <v>,@PLAN_TIMES</v>
      </c>
      <c r="N14" s="1" t="str">
        <f t="shared" si="6"/>
        <v xml:space="preserve">PLAN_TIMES = @PLAN_TIMES, </v>
      </c>
      <c r="O14" s="1" t="str">
        <f t="shared" si="9"/>
        <v>error += ExcelUtil.CheckValue(excelVo.PlanTimes , "理論作業時間", false, (null, null, 4), (true, false, false), (false, false));</v>
      </c>
      <c r="P14" s="1" t="str">
        <f t="shared" si="10"/>
        <v>excelVo.PlanTimes = StringUtil.IsNotEmpty(ExcelUtil.GetCell(sheet, i, j).ToString().TrimEnd())? ExcelUtil.GetCell(sheet, i, j).ToString().TrimEnd().ToUpper():"";j++;//理論作業時間</v>
      </c>
      <c r="Q14" s="1" t="str">
        <f t="shared" si="11"/>
        <v>ExcelUtil.SetContent(sheet, row, column++, (string)item["planTimes"]);</v>
      </c>
      <c r="R14" s="1" t="str">
        <f t="shared" si="12"/>
        <v>paramDt.Add("@PLAN_TIMES" , PlanTimes );//INT</v>
      </c>
      <c r="S14" s="1" t="str">
        <f t="shared" si="13"/>
        <v>paramDt.Add("@PLAN_TIMES" , master.PlanTimes );//理論作業時間</v>
      </c>
      <c r="T14" s="1" t="str">
        <f t="shared" si="14"/>
        <v>{ name: 'planTimes' , sort: 'PLAN_TIMES' },</v>
      </c>
      <c r="U14" s="1" t="str">
        <f t="shared" si="15"/>
        <v>"planTimes":"理論作業時間",</v>
      </c>
      <c r="V14" s="1" t="str">
        <f t="shared" si="16"/>
        <v>this.vo.planTimes = '' ; //理論作業時間</v>
      </c>
    </row>
    <row r="15" spans="1:32" ht="14.5" x14ac:dyDescent="0.4">
      <c r="A15" s="1" t="s">
        <v>88</v>
      </c>
      <c r="B15" s="1" t="s">
        <v>72</v>
      </c>
      <c r="C15" s="1" t="s">
        <v>100</v>
      </c>
      <c r="D15" s="1" t="s">
        <v>5</v>
      </c>
      <c r="E15" s="5">
        <v>4</v>
      </c>
      <c r="F15" s="1" t="str">
        <f t="shared" si="7"/>
        <v>startTm</v>
      </c>
      <c r="G15" s="1" t="str">
        <f t="shared" si="0"/>
        <v>StartTm</v>
      </c>
      <c r="H15" s="1" t="str">
        <f t="shared" si="17"/>
        <v>string</v>
      </c>
      <c r="I15" s="1" t="str">
        <f t="shared" si="8"/>
        <v xml:space="preserve">///&lt;summary&gt;
///開始下櫃時間
///&lt;/summary&gt;
public string StartTm {get; set;}
</v>
      </c>
      <c r="J15" s="1" t="str">
        <f t="shared" si="2"/>
        <v xml:space="preserve"> AND t1.START_TM = @START_TM</v>
      </c>
      <c r="K15" s="1" t="str">
        <f t="shared" si="3"/>
        <v>t1.START_TM        AS StartTm,</v>
      </c>
      <c r="L15" s="1" t="str">
        <f t="shared" si="4"/>
        <v>,START_TM</v>
      </c>
      <c r="M15" s="1" t="str">
        <f t="shared" si="5"/>
        <v>,@START_TM</v>
      </c>
      <c r="N15" s="1" t="str">
        <f t="shared" si="6"/>
        <v xml:space="preserve">START_TM = @START_TM, </v>
      </c>
      <c r="O15" s="1" t="str">
        <f t="shared" si="9"/>
        <v>error += ExcelUtil.CheckValue(excelVo.StartTm , "開始下櫃時間", false, (null, null, 4), (true, false, false), (false, false));</v>
      </c>
      <c r="P15" s="1" t="str">
        <f t="shared" si="10"/>
        <v>excelVo.StartTm = StringUtil.IsNotEmpty(ExcelUtil.GetCell(sheet, i, j).ToString().TrimEnd())? ExcelUtil.GetCell(sheet, i, j).ToString().TrimEnd().ToUpper():"";j++;//開始下櫃時間</v>
      </c>
      <c r="Q15" s="1" t="str">
        <f t="shared" si="11"/>
        <v>ExcelUtil.SetContent(sheet, row, column++, (string)item["startTm"]);</v>
      </c>
      <c r="R15" s="1" t="str">
        <f t="shared" si="12"/>
        <v>paramDt.Add("@START_TM" , StartTm );//VARCHAR</v>
      </c>
      <c r="S15" s="1" t="str">
        <f t="shared" si="13"/>
        <v>paramDt.Add("@START_TM" , master.StartTm );//開始下櫃時間</v>
      </c>
      <c r="T15" s="1" t="str">
        <f t="shared" si="14"/>
        <v>{ name: 'startTm' , sort: 'START_TM' },</v>
      </c>
      <c r="U15" s="1" t="str">
        <f t="shared" si="15"/>
        <v>"startTm":"開始下櫃時間",</v>
      </c>
      <c r="V15" s="1" t="str">
        <f t="shared" si="16"/>
        <v>this.vo.startTm = '' ; //開始下櫃時間</v>
      </c>
    </row>
    <row r="16" spans="1:32" ht="14.5" x14ac:dyDescent="0.4">
      <c r="A16" s="1" t="s">
        <v>88</v>
      </c>
      <c r="B16" s="1" t="s">
        <v>73</v>
      </c>
      <c r="C16" s="1" t="s">
        <v>101</v>
      </c>
      <c r="D16" s="1" t="s">
        <v>5</v>
      </c>
      <c r="E16" s="5">
        <v>4</v>
      </c>
      <c r="F16" s="1" t="str">
        <f t="shared" si="7"/>
        <v>endTm</v>
      </c>
      <c r="G16" s="1" t="str">
        <f t="shared" si="0"/>
        <v>EndTm</v>
      </c>
      <c r="H16" s="1" t="str">
        <f t="shared" si="17"/>
        <v>string</v>
      </c>
      <c r="I16" s="1" t="str">
        <f t="shared" si="8"/>
        <v xml:space="preserve">///&lt;summary&gt;
///結束下櫃時間
///&lt;/summary&gt;
public string EndTm {get; set;}
</v>
      </c>
      <c r="J16" s="1" t="str">
        <f t="shared" si="2"/>
        <v xml:space="preserve"> AND t1.END_TM = @END_TM</v>
      </c>
      <c r="K16" s="1" t="str">
        <f t="shared" si="3"/>
        <v>t1.END_TM        AS EndTm,</v>
      </c>
      <c r="L16" s="1" t="str">
        <f t="shared" si="4"/>
        <v>,END_TM</v>
      </c>
      <c r="M16" s="1" t="str">
        <f t="shared" si="5"/>
        <v>,@END_TM</v>
      </c>
      <c r="N16" s="1" t="str">
        <f t="shared" si="6"/>
        <v xml:space="preserve">END_TM = @END_TM, </v>
      </c>
      <c r="O16" s="1" t="str">
        <f t="shared" si="9"/>
        <v>error += ExcelUtil.CheckValue(excelVo.EndTm , "結束下櫃時間", false, (null, null, 4), (true, false, false), (false, false));</v>
      </c>
      <c r="P16" s="1" t="str">
        <f t="shared" si="10"/>
        <v>excelVo.EndTm = StringUtil.IsNotEmpty(ExcelUtil.GetCell(sheet, i, j).ToString().TrimEnd())? ExcelUtil.GetCell(sheet, i, j).ToString().TrimEnd().ToUpper():"";j++;//結束下櫃時間</v>
      </c>
      <c r="Q16" s="1" t="str">
        <f t="shared" si="11"/>
        <v>ExcelUtil.SetContent(sheet, row, column++, (string)item["endTm"]);</v>
      </c>
      <c r="R16" s="1" t="str">
        <f t="shared" si="12"/>
        <v>paramDt.Add("@END_TM" , EndTm );//VARCHAR</v>
      </c>
      <c r="S16" s="1" t="str">
        <f t="shared" si="13"/>
        <v>paramDt.Add("@END_TM" , master.EndTm );//結束下櫃時間</v>
      </c>
      <c r="T16" s="1" t="str">
        <f t="shared" si="14"/>
        <v>{ name: 'endTm' , sort: 'END_TM' },</v>
      </c>
      <c r="U16" s="1" t="str">
        <f t="shared" si="15"/>
        <v>"endTm":"結束下櫃時間",</v>
      </c>
      <c r="V16" s="1" t="str">
        <f t="shared" si="16"/>
        <v>this.vo.endTm = '' ; //結束下櫃時間</v>
      </c>
    </row>
    <row r="17" spans="1:22" ht="14.5" x14ac:dyDescent="0.4">
      <c r="A17" s="1" t="s">
        <v>88</v>
      </c>
      <c r="B17" s="1" t="s">
        <v>74</v>
      </c>
      <c r="C17" s="1" t="s">
        <v>85</v>
      </c>
      <c r="D17" s="1" t="s">
        <v>42</v>
      </c>
      <c r="E17" s="5">
        <v>4</v>
      </c>
      <c r="F17" s="1" t="str">
        <f t="shared" si="7"/>
        <v>realTimes</v>
      </c>
      <c r="G17" s="1" t="str">
        <f t="shared" si="0"/>
        <v>RealTimes</v>
      </c>
      <c r="H17" s="1" t="str">
        <f t="shared" si="17"/>
        <v>int</v>
      </c>
      <c r="I17" s="1" t="str">
        <f t="shared" si="8"/>
        <v xml:space="preserve">///&lt;summary&gt;
///實際作業時間
///&lt;/summary&gt;
public int RealTimes {get; set;}
</v>
      </c>
      <c r="J17" s="1" t="str">
        <f t="shared" si="2"/>
        <v xml:space="preserve"> AND t1.REAL_TIMES = @REAL_TIMES</v>
      </c>
      <c r="K17" s="1" t="str">
        <f t="shared" si="3"/>
        <v>t1.REAL_TIMES        AS RealTimes,</v>
      </c>
      <c r="L17" s="1" t="str">
        <f t="shared" si="4"/>
        <v>,REAL_TIMES</v>
      </c>
      <c r="M17" s="1" t="str">
        <f t="shared" si="5"/>
        <v>,@REAL_TIMES</v>
      </c>
      <c r="N17" s="1" t="str">
        <f t="shared" si="6"/>
        <v xml:space="preserve">REAL_TIMES = @REAL_TIMES, </v>
      </c>
      <c r="O17" s="1" t="str">
        <f t="shared" si="9"/>
        <v>error += ExcelUtil.CheckValue(excelVo.RealTimes , "實際作業時間", false, (null, null, 4), (true, false, false), (false, false));</v>
      </c>
      <c r="P17" s="1" t="str">
        <f t="shared" si="10"/>
        <v>excelVo.RealTimes = StringUtil.IsNotEmpty(ExcelUtil.GetCell(sheet, i, j).ToString().TrimEnd())? ExcelUtil.GetCell(sheet, i, j).ToString().TrimEnd().ToUpper():"";j++;//實際作業時間</v>
      </c>
      <c r="Q17" s="1" t="str">
        <f t="shared" si="11"/>
        <v>ExcelUtil.SetContent(sheet, row, column++, (string)item["realTimes"]);</v>
      </c>
      <c r="R17" s="1" t="str">
        <f t="shared" si="12"/>
        <v>paramDt.Add("@REAL_TIMES" , RealTimes );//INT</v>
      </c>
      <c r="S17" s="1" t="str">
        <f t="shared" si="13"/>
        <v>paramDt.Add("@REAL_TIMES" , master.RealTimes );//實際作業時間</v>
      </c>
      <c r="T17" s="1" t="str">
        <f t="shared" si="14"/>
        <v>{ name: 'realTimes' , sort: 'REAL_TIMES' },</v>
      </c>
      <c r="U17" s="1" t="str">
        <f t="shared" si="15"/>
        <v>"realTimes":"實際作業時間",</v>
      </c>
      <c r="V17" s="1" t="str">
        <f t="shared" si="16"/>
        <v>this.vo.realTimes = '' ; //實際作業時間</v>
      </c>
    </row>
    <row r="18" spans="1:22" ht="14.5" x14ac:dyDescent="0.4">
      <c r="A18" s="1" t="s">
        <v>88</v>
      </c>
      <c r="B18" s="1" t="s">
        <v>75</v>
      </c>
      <c r="C18" s="1" t="s">
        <v>102</v>
      </c>
      <c r="D18" s="1" t="s">
        <v>5</v>
      </c>
      <c r="E18" s="5">
        <v>1</v>
      </c>
      <c r="F18" s="1" t="str">
        <f t="shared" si="7"/>
        <v>unPackStatus</v>
      </c>
      <c r="G18" s="1" t="str">
        <f t="shared" si="0"/>
        <v>UnPackStatus</v>
      </c>
      <c r="H18" s="1" t="str">
        <f t="shared" si="17"/>
        <v>string</v>
      </c>
      <c r="I18" s="1" t="str">
        <f t="shared" si="8"/>
        <v xml:space="preserve">///&lt;summary&gt;
///下櫃狀態
///&lt;/summary&gt;
public string UnPackStatus {get; set;}
</v>
      </c>
      <c r="J18" s="1" t="str">
        <f t="shared" si="2"/>
        <v xml:space="preserve"> AND t1.UN_PACK_STATUS = @UN_PACK_STATUS</v>
      </c>
      <c r="K18" s="1" t="str">
        <f t="shared" si="3"/>
        <v>t1.UN_PACK_STATUS        AS UnPackStatus,</v>
      </c>
      <c r="L18" s="1" t="str">
        <f t="shared" si="4"/>
        <v>,UN_PACK_STATUS</v>
      </c>
      <c r="M18" s="1" t="str">
        <f t="shared" si="5"/>
        <v>,@UN_PACK_STATUS</v>
      </c>
      <c r="N18" s="1" t="str">
        <f t="shared" si="6"/>
        <v xml:space="preserve">UN_PACK_STATUS = @UN_PACK_STATUS, </v>
      </c>
      <c r="O18" s="1" t="str">
        <f t="shared" si="9"/>
        <v>error += ExcelUtil.CheckValue(excelVo.UnPackStatus , "下櫃狀態", false, (null, null, 1), (true, false, false), (false, false));</v>
      </c>
      <c r="P18" s="1" t="str">
        <f t="shared" si="10"/>
        <v>excelVo.UnPackStatus = StringUtil.IsNotEmpty(ExcelUtil.GetCell(sheet, i, j).ToString().TrimEnd())? ExcelUtil.GetCell(sheet, i, j).ToString().TrimEnd().ToUpper():"";j++;//下櫃狀態</v>
      </c>
      <c r="Q18" s="1" t="str">
        <f t="shared" si="11"/>
        <v>ExcelUtil.SetContent(sheet, row, column++, (string)item["unPackStatus"]);</v>
      </c>
      <c r="R18" s="1" t="str">
        <f t="shared" si="12"/>
        <v>paramDt.Add("@UN_PACK_STATUS" , UnPackStatus );//VARCHAR</v>
      </c>
      <c r="S18" s="1" t="str">
        <f t="shared" si="13"/>
        <v>paramDt.Add("@UN_PACK_STATUS" , master.UnPackStatus );//下櫃狀態</v>
      </c>
      <c r="T18" s="1" t="str">
        <f t="shared" si="14"/>
        <v>{ name: 'unPackStatus' , sort: 'UN_PACK_STATUS' },</v>
      </c>
      <c r="U18" s="1" t="str">
        <f t="shared" si="15"/>
        <v>"unPackStatus":"下櫃狀態",</v>
      </c>
      <c r="V18" s="1" t="str">
        <f t="shared" si="16"/>
        <v>this.vo.unPackStatus = '' ; //下櫃狀態</v>
      </c>
    </row>
    <row r="19" spans="1:22" ht="14.5" x14ac:dyDescent="0.4">
      <c r="A19" s="1" t="s">
        <v>88</v>
      </c>
      <c r="B19" s="1" t="s">
        <v>69</v>
      </c>
      <c r="C19" s="1" t="s">
        <v>103</v>
      </c>
      <c r="D19" s="1" t="s">
        <v>42</v>
      </c>
      <c r="E19" s="5">
        <v>4</v>
      </c>
      <c r="F19" s="1" t="str">
        <f t="shared" si="7"/>
        <v>planVolume</v>
      </c>
      <c r="G19" s="1" t="str">
        <f t="shared" si="0"/>
        <v>PlanVolume</v>
      </c>
      <c r="H19" s="1" t="str">
        <f t="shared" si="17"/>
        <v>int</v>
      </c>
      <c r="I19" s="1" t="str">
        <f t="shared" si="8"/>
        <v xml:space="preserve">///&lt;summary&gt;
///計畫下櫃台數
///&lt;/summary&gt;
public int PlanVolume {get; set;}
</v>
      </c>
      <c r="J19" s="1" t="str">
        <f t="shared" si="2"/>
        <v xml:space="preserve"> AND t1.PLAN_VOLUME = @PLAN_VOLUME</v>
      </c>
      <c r="K19" s="1" t="str">
        <f t="shared" si="3"/>
        <v>t1.PLAN_VOLUME        AS PlanVolume,</v>
      </c>
      <c r="L19" s="1" t="str">
        <f t="shared" si="4"/>
        <v>,PLAN_VOLUME</v>
      </c>
      <c r="M19" s="1" t="str">
        <f t="shared" si="5"/>
        <v>,@PLAN_VOLUME</v>
      </c>
      <c r="N19" s="1" t="str">
        <f t="shared" si="6"/>
        <v xml:space="preserve">PLAN_VOLUME = @PLAN_VOLUME, </v>
      </c>
      <c r="O19" s="1" t="str">
        <f t="shared" si="9"/>
        <v>error += ExcelUtil.CheckValue(excelVo.PlanVolume , "計畫下櫃台數", false, (null, null, 4), (true, false, false), (false, false));</v>
      </c>
      <c r="P19" s="1" t="str">
        <f t="shared" si="10"/>
        <v>excelVo.PlanVolume = StringUtil.IsNotEmpty(ExcelUtil.GetCell(sheet, i, j).ToString().TrimEnd())? ExcelUtil.GetCell(sheet, i, j).ToString().TrimEnd().ToUpper():"";j++;//計畫下櫃台數</v>
      </c>
      <c r="Q19" s="1" t="str">
        <f t="shared" si="11"/>
        <v>ExcelUtil.SetContent(sheet, row, column++, (string)item["planVolume"]);</v>
      </c>
      <c r="R19" s="1" t="str">
        <f t="shared" si="12"/>
        <v>paramDt.Add("@PLAN_VOLUME" , PlanVolume );//INT</v>
      </c>
      <c r="S19" s="1" t="str">
        <f t="shared" si="13"/>
        <v>paramDt.Add("@PLAN_VOLUME" , master.PlanVolume );//計畫下櫃台數</v>
      </c>
      <c r="T19" s="1" t="str">
        <f t="shared" si="14"/>
        <v>{ name: 'planVolume' , sort: 'PLAN_VOLUME' },</v>
      </c>
      <c r="U19" s="1" t="str">
        <f t="shared" si="15"/>
        <v>"planVolume":"計畫下櫃台數",</v>
      </c>
      <c r="V19" s="1" t="str">
        <f t="shared" si="16"/>
        <v>this.vo.planVolume = '' ; //計畫下櫃台數</v>
      </c>
    </row>
    <row r="20" spans="1:22" ht="14.5" x14ac:dyDescent="0.4">
      <c r="A20" s="1" t="s">
        <v>88</v>
      </c>
      <c r="B20" s="1" t="s">
        <v>70</v>
      </c>
      <c r="C20" s="1" t="s">
        <v>104</v>
      </c>
      <c r="D20" s="1" t="s">
        <v>42</v>
      </c>
      <c r="E20" s="5">
        <v>4</v>
      </c>
      <c r="F20" s="1" t="str">
        <f t="shared" si="7"/>
        <v>realVolume</v>
      </c>
      <c r="G20" s="1" t="str">
        <f t="shared" si="0"/>
        <v>RealVolume</v>
      </c>
      <c r="H20" s="1" t="str">
        <f t="shared" si="17"/>
        <v>int</v>
      </c>
      <c r="I20" s="1" t="str">
        <f t="shared" si="8"/>
        <v xml:space="preserve">///&lt;summary&gt;
///實際下櫃台數
///&lt;/summary&gt;
public int RealVolume {get; set;}
</v>
      </c>
      <c r="J20" s="1" t="str">
        <f t="shared" si="2"/>
        <v xml:space="preserve"> AND t1.REAL_VOLUME = @REAL_VOLUME</v>
      </c>
      <c r="K20" s="1" t="str">
        <f t="shared" si="3"/>
        <v>t1.REAL_VOLUME        AS RealVolume,</v>
      </c>
      <c r="L20" s="1" t="str">
        <f t="shared" si="4"/>
        <v>,REAL_VOLUME</v>
      </c>
      <c r="M20" s="1" t="str">
        <f t="shared" si="5"/>
        <v>,@REAL_VOLUME</v>
      </c>
      <c r="N20" s="1" t="str">
        <f t="shared" si="6"/>
        <v xml:space="preserve">REAL_VOLUME = @REAL_VOLUME, </v>
      </c>
      <c r="O20" s="1" t="str">
        <f t="shared" si="9"/>
        <v>error += ExcelUtil.CheckValue(excelVo.RealVolume , "實際下櫃台數", false, (null, null, 4), (true, false, false), (false, false));</v>
      </c>
      <c r="P20" s="1" t="str">
        <f t="shared" si="10"/>
        <v>excelVo.RealVolume = StringUtil.IsNotEmpty(ExcelUtil.GetCell(sheet, i, j).ToString().TrimEnd())? ExcelUtil.GetCell(sheet, i, j).ToString().TrimEnd().ToUpper():"";j++;//實際下櫃台數</v>
      </c>
      <c r="Q20" s="1" t="str">
        <f t="shared" si="11"/>
        <v>ExcelUtil.SetContent(sheet, row, column++, (string)item["realVolume"]);</v>
      </c>
      <c r="R20" s="1" t="str">
        <f t="shared" si="12"/>
        <v>paramDt.Add("@REAL_VOLUME" , RealVolume );//INT</v>
      </c>
      <c r="S20" s="1" t="str">
        <f t="shared" si="13"/>
        <v>paramDt.Add("@REAL_VOLUME" , master.RealVolume );//實際下櫃台數</v>
      </c>
      <c r="T20" s="1" t="str">
        <f t="shared" si="14"/>
        <v>{ name: 'realVolume' , sort: 'REAL_VOLUME' },</v>
      </c>
      <c r="U20" s="1" t="str">
        <f t="shared" si="15"/>
        <v>"realVolume":"實際下櫃台數",</v>
      </c>
      <c r="V20" s="1" t="str">
        <f t="shared" si="16"/>
        <v>this.vo.realVolume = '' ; //實際下櫃台數</v>
      </c>
    </row>
    <row r="21" spans="1:22" ht="14.5" x14ac:dyDescent="0.4">
      <c r="A21" s="1" t="s">
        <v>88</v>
      </c>
      <c r="B21" s="1" t="s">
        <v>0</v>
      </c>
      <c r="C21" s="1" t="s">
        <v>7</v>
      </c>
      <c r="D21" s="1" t="s">
        <v>5</v>
      </c>
      <c r="E21" s="5">
        <v>20</v>
      </c>
      <c r="F21" s="1" t="str">
        <f t="shared" si="7"/>
        <v>createdBy</v>
      </c>
      <c r="G21" s="1" t="str">
        <f t="shared" si="0"/>
        <v>CreatedBy</v>
      </c>
      <c r="H21" s="1" t="str">
        <f t="shared" si="17"/>
        <v>string</v>
      </c>
      <c r="I21" s="1" t="str">
        <f t="shared" si="8"/>
        <v xml:space="preserve">///&lt;summary&gt;
///新增人員
///&lt;/summary&gt;
public string CreatedBy {get; set;}
</v>
      </c>
      <c r="J21" s="1" t="str">
        <f t="shared" si="2"/>
        <v xml:space="preserve"> AND t1.CREATED_BY = @CREATED_BY</v>
      </c>
      <c r="K21" s="1" t="str">
        <f t="shared" si="3"/>
        <v>t1.CREATED_BY        AS CreatedBy,</v>
      </c>
      <c r="L21" s="1" t="str">
        <f t="shared" si="4"/>
        <v>,CREATED_BY</v>
      </c>
      <c r="M21" s="1" t="str">
        <f t="shared" si="5"/>
        <v>,@CREATED_BY</v>
      </c>
      <c r="N21" s="1" t="str">
        <f t="shared" si="6"/>
        <v xml:space="preserve">CREATED_BY = @CREATED_BY, </v>
      </c>
      <c r="O21" s="1" t="str">
        <f t="shared" si="9"/>
        <v>error += ExcelUtil.CheckValue(excelVo.CreatedBy , "新增人員", false, (null, null, 20), (true, false, false), (false, false));</v>
      </c>
      <c r="P21" s="1" t="str">
        <f t="shared" si="10"/>
        <v>excelVo.CreatedBy = StringUtil.IsNotEmpty(ExcelUtil.GetCell(sheet, i, j).ToString().TrimEnd())? ExcelUtil.GetCell(sheet, i, j).ToString().TrimEnd().ToUpper():"";j++;//新增人員</v>
      </c>
      <c r="Q21" s="1" t="str">
        <f t="shared" si="11"/>
        <v>ExcelUtil.SetContent(sheet, row, column++, (string)item["createdBy"]);</v>
      </c>
      <c r="R21" s="1" t="str">
        <f t="shared" si="12"/>
        <v>paramDt.Add("@CREATED_BY" , CreatedBy );//VARCHAR</v>
      </c>
      <c r="S21" s="1" t="str">
        <f t="shared" si="13"/>
        <v>paramDt.Add("@CREATED_BY" , master.CreatedBy );//新增人員</v>
      </c>
      <c r="T21" s="1" t="str">
        <f t="shared" si="14"/>
        <v>{ name: 'createdBy' , sort: 'CREATED_BY' },</v>
      </c>
      <c r="U21" s="1" t="str">
        <f t="shared" si="15"/>
        <v>"createdBy":"新增人員",</v>
      </c>
      <c r="V21" s="1" t="str">
        <f t="shared" si="16"/>
        <v>this.vo.createdBy = '' ; //新增人員</v>
      </c>
    </row>
    <row r="22" spans="1:22" ht="14.5" x14ac:dyDescent="0.4">
      <c r="A22" s="1" t="s">
        <v>88</v>
      </c>
      <c r="B22" s="1" t="s">
        <v>1</v>
      </c>
      <c r="C22" s="1" t="s">
        <v>8</v>
      </c>
      <c r="D22" s="1" t="s">
        <v>9</v>
      </c>
      <c r="E22" s="5"/>
      <c r="F22" s="1" t="str">
        <f t="shared" si="7"/>
        <v>createdDt</v>
      </c>
      <c r="G22" s="1" t="str">
        <f t="shared" si="0"/>
        <v>CreatedDt</v>
      </c>
      <c r="H22" s="1" t="str">
        <f t="shared" si="17"/>
        <v>DateTime?</v>
      </c>
      <c r="I22" s="1" t="str">
        <f t="shared" si="8"/>
        <v xml:space="preserve">///&lt;summary&gt;
///新增日期時間
///&lt;/summary&gt;
public DateTime? CreatedDt {get; set;}
</v>
      </c>
      <c r="J22" s="1" t="str">
        <f t="shared" si="2"/>
        <v xml:space="preserve"> AND t1.CREATED_DT = @CREATED_DT</v>
      </c>
      <c r="K22" s="1" t="str">
        <f t="shared" si="3"/>
        <v>t1.CREATED_DT        AS CreatedDt,</v>
      </c>
      <c r="L22" s="1" t="str">
        <f t="shared" si="4"/>
        <v>,CREATED_DT</v>
      </c>
      <c r="M22" s="1" t="str">
        <f t="shared" si="5"/>
        <v>,@CREATED_DT</v>
      </c>
      <c r="N22" s="1" t="str">
        <f t="shared" si="6"/>
        <v xml:space="preserve">CREATED_DT = @CREATED_DT, </v>
      </c>
      <c r="O22" s="1" t="str">
        <f t="shared" si="9"/>
        <v>error += ExcelUtil.CheckValue(excelVo.CreatedDt , "新增日期時間", false, (null, null, ), (true, false, false), (false, false));</v>
      </c>
      <c r="P22" s="1" t="str">
        <f t="shared" si="10"/>
        <v>excelVo.CreatedDt = StringUtil.IsNotEmpty(ExcelUtil.GetCell(sheet, i, j).ToString().TrimEnd())? ExcelUtil.GetCell(sheet, i, j).ToString().TrimEnd().ToUpper():"";j++;//新增日期時間</v>
      </c>
      <c r="Q22" s="1" t="str">
        <f t="shared" si="11"/>
        <v>ExcelUtil.SetContent(sheet, row, column++, (string)item["createdDt"]);</v>
      </c>
      <c r="R22" s="1" t="str">
        <f t="shared" si="12"/>
        <v>paramDt.Add("@CREATED_DT" , CreatedDt );//DATETIME</v>
      </c>
      <c r="S22" s="1" t="str">
        <f t="shared" si="13"/>
        <v>paramDt.Add("@CREATED_DT" , master.CreatedDt );//新增日期時間</v>
      </c>
      <c r="T22" s="1" t="str">
        <f t="shared" si="14"/>
        <v>{ name: 'createdDt' , sort: 'CREATED_DT' },</v>
      </c>
      <c r="U22" s="1" t="str">
        <f t="shared" si="15"/>
        <v>"createdDt":"新增日期時間",</v>
      </c>
      <c r="V22" s="1" t="str">
        <f t="shared" si="16"/>
        <v>this.vo.createdDt = '' ; //新增日期時間</v>
      </c>
    </row>
    <row r="23" spans="1:22" ht="14.5" x14ac:dyDescent="0.4">
      <c r="A23" s="1" t="s">
        <v>88</v>
      </c>
      <c r="B23" s="1" t="s">
        <v>2</v>
      </c>
      <c r="C23" s="1" t="s">
        <v>10</v>
      </c>
      <c r="D23" s="1" t="s">
        <v>5</v>
      </c>
      <c r="E23" s="5">
        <v>20</v>
      </c>
      <c r="F23" s="1" t="str">
        <f t="shared" si="7"/>
        <v>updatedBy</v>
      </c>
      <c r="G23" s="1" t="str">
        <f t="shared" si="0"/>
        <v>UpdatedBy</v>
      </c>
      <c r="H23" s="1" t="str">
        <f t="shared" si="17"/>
        <v>string</v>
      </c>
      <c r="I23" s="1" t="str">
        <f t="shared" si="8"/>
        <v xml:space="preserve">///&lt;summary&gt;
///更新人員
///&lt;/summary&gt;
public string UpdatedBy {get; set;}
</v>
      </c>
      <c r="J23" s="1" t="str">
        <f t="shared" si="2"/>
        <v xml:space="preserve"> AND t1.UPDATED_BY = @UPDATED_BY</v>
      </c>
      <c r="K23" s="1" t="str">
        <f t="shared" si="3"/>
        <v>t1.UPDATED_BY        AS UpdatedBy,</v>
      </c>
      <c r="L23" s="1" t="str">
        <f t="shared" si="4"/>
        <v>,UPDATED_BY</v>
      </c>
      <c r="M23" s="1" t="str">
        <f t="shared" si="5"/>
        <v>,@UPDATED_BY</v>
      </c>
      <c r="N23" s="1" t="str">
        <f t="shared" si="6"/>
        <v xml:space="preserve">UPDATED_BY = @UPDATED_BY, </v>
      </c>
      <c r="O23" s="1" t="str">
        <f t="shared" si="9"/>
        <v>error += ExcelUtil.CheckValue(excelVo.UpdatedBy , "更新人員", false, (null, null, 20), (true, false, false), (false, false));</v>
      </c>
      <c r="P23" s="1" t="str">
        <f t="shared" si="10"/>
        <v>excelVo.UpdatedBy = StringUtil.IsNotEmpty(ExcelUtil.GetCell(sheet, i, j).ToString().TrimEnd())? ExcelUtil.GetCell(sheet, i, j).ToString().TrimEnd().ToUpper():"";j++;//更新人員</v>
      </c>
      <c r="Q23" s="1" t="str">
        <f t="shared" si="11"/>
        <v>ExcelUtil.SetContent(sheet, row, column++, (string)item["updatedBy"]);</v>
      </c>
      <c r="R23" s="1" t="str">
        <f t="shared" si="12"/>
        <v>paramDt.Add("@UPDATED_BY" , UpdatedBy );//VARCHAR</v>
      </c>
      <c r="S23" s="1" t="str">
        <f t="shared" si="13"/>
        <v>paramDt.Add("@UPDATED_BY" , master.UpdatedBy );//更新人員</v>
      </c>
      <c r="T23" s="1" t="str">
        <f t="shared" si="14"/>
        <v>{ name: 'updatedBy' , sort: 'UPDATED_BY' },</v>
      </c>
      <c r="U23" s="1" t="str">
        <f t="shared" si="15"/>
        <v>"updatedBy":"更新人員",</v>
      </c>
      <c r="V23" s="1" t="str">
        <f t="shared" si="16"/>
        <v>this.vo.updatedBy = '' ; //更新人員</v>
      </c>
    </row>
    <row r="24" spans="1:22" ht="14.5" x14ac:dyDescent="0.4">
      <c r="A24" s="1" t="s">
        <v>88</v>
      </c>
      <c r="B24" s="1" t="s">
        <v>3</v>
      </c>
      <c r="C24" s="1" t="s">
        <v>11</v>
      </c>
      <c r="D24" s="1" t="s">
        <v>9</v>
      </c>
      <c r="E24" s="5"/>
      <c r="F24" s="1" t="str">
        <f t="shared" si="7"/>
        <v>updatedDt</v>
      </c>
      <c r="G24" s="1" t="str">
        <f t="shared" si="0"/>
        <v>UpdatedDt</v>
      </c>
      <c r="H24" s="1" t="str">
        <f t="shared" si="17"/>
        <v>DateTime?</v>
      </c>
      <c r="I24" s="1" t="str">
        <f t="shared" si="8"/>
        <v xml:space="preserve">///&lt;summary&gt;
///更新日期時間
///&lt;/summary&gt;
public DateTime? UpdatedDt {get; set;}
</v>
      </c>
      <c r="J24" s="1" t="str">
        <f t="shared" si="2"/>
        <v xml:space="preserve"> AND t1.UPDATED_DT = @UPDATED_DT</v>
      </c>
      <c r="K24" s="1" t="str">
        <f t="shared" si="3"/>
        <v>t1.UPDATED_DT        AS UpdatedDt,</v>
      </c>
      <c r="L24" s="1" t="str">
        <f t="shared" si="4"/>
        <v>,UPDATED_DT</v>
      </c>
      <c r="M24" s="1" t="str">
        <f t="shared" si="5"/>
        <v>,@UPDATED_DT</v>
      </c>
      <c r="N24" s="1" t="str">
        <f t="shared" si="6"/>
        <v xml:space="preserve">UPDATED_DT = @UPDATED_DT, </v>
      </c>
      <c r="O24" s="1" t="str">
        <f t="shared" si="9"/>
        <v>error += ExcelUtil.CheckValue(excelVo.UpdatedDt , "更新日期時間", false, (null, null, ), (true, false, false), (false, false));</v>
      </c>
      <c r="P24" s="1" t="str">
        <f t="shared" si="10"/>
        <v>excelVo.UpdatedDt = StringUtil.IsNotEmpty(ExcelUtil.GetCell(sheet, i, j).ToString().TrimEnd())? ExcelUtil.GetCell(sheet, i, j).ToString().TrimEnd().ToUpper():"";j++;//更新日期時間</v>
      </c>
      <c r="Q24" s="1" t="str">
        <f t="shared" si="11"/>
        <v>ExcelUtil.SetContent(sheet, row, column++, (string)item["updatedDt"]);</v>
      </c>
      <c r="R24" s="1" t="str">
        <f t="shared" si="12"/>
        <v>paramDt.Add("@UPDATED_DT" , UpdatedDt );//DATETIME</v>
      </c>
      <c r="S24" s="1" t="str">
        <f t="shared" si="13"/>
        <v>paramDt.Add("@UPDATED_DT" , master.UpdatedDt );//更新日期時間</v>
      </c>
      <c r="T24" s="1" t="str">
        <f t="shared" si="14"/>
        <v>{ name: 'updatedDt' , sort: 'UPDATED_DT' },</v>
      </c>
      <c r="U24" s="1" t="str">
        <f t="shared" si="15"/>
        <v>"updatedDt":"更新日期時間",</v>
      </c>
      <c r="V24" s="1" t="str">
        <f t="shared" si="16"/>
        <v>this.vo.updatedDt = '' ; //更新日期時間</v>
      </c>
    </row>
    <row r="25" spans="1:22" ht="14.5" x14ac:dyDescent="0.4">
      <c r="A25" s="1" t="s">
        <v>88</v>
      </c>
      <c r="B25" s="1" t="s">
        <v>4</v>
      </c>
      <c r="C25" s="1" t="s">
        <v>12</v>
      </c>
      <c r="D25" s="1" t="s">
        <v>5</v>
      </c>
      <c r="E25" s="5">
        <v>30</v>
      </c>
      <c r="F25" s="1" t="str">
        <f t="shared" si="7"/>
        <v>funcId</v>
      </c>
      <c r="G25" s="1" t="str">
        <f t="shared" si="0"/>
        <v>FuncId</v>
      </c>
      <c r="H25" s="1" t="str">
        <f t="shared" si="17"/>
        <v>string</v>
      </c>
      <c r="I25" s="1" t="str">
        <f t="shared" si="8"/>
        <v xml:space="preserve">///&lt;summary&gt;
///更新作業FunctionID
///&lt;/summary&gt;
public string FuncId {get; set;}
</v>
      </c>
      <c r="J25" s="1" t="str">
        <f t="shared" si="2"/>
        <v xml:space="preserve"> AND t1.FUNC_ID = @FUNC_ID</v>
      </c>
      <c r="K25" s="1" t="str">
        <f t="shared" si="3"/>
        <v>t1.FUNC_ID        AS FuncId,</v>
      </c>
      <c r="L25" s="1" t="str">
        <f t="shared" si="4"/>
        <v>,FUNC_ID</v>
      </c>
      <c r="M25" s="1" t="str">
        <f t="shared" si="5"/>
        <v>,@FUNC_ID</v>
      </c>
      <c r="N25" s="1" t="str">
        <f t="shared" si="6"/>
        <v xml:space="preserve">FUNC_ID = @FUNC_ID, </v>
      </c>
      <c r="O25" s="1" t="str">
        <f t="shared" si="9"/>
        <v>error += ExcelUtil.CheckValue(excelVo.FuncId , "更新作業FunctionID", false, (null, null, 30), (true, false, false), (false, false));</v>
      </c>
      <c r="P25" s="1" t="str">
        <f t="shared" si="10"/>
        <v>excelVo.FuncId = StringUtil.IsNotEmpty(ExcelUtil.GetCell(sheet, i, j).ToString().TrimEnd())? ExcelUtil.GetCell(sheet, i, j).ToString().TrimEnd().ToUpper():"";j++;//更新作業FunctionID</v>
      </c>
      <c r="Q25" s="1" t="str">
        <f t="shared" si="11"/>
        <v>ExcelUtil.SetContent(sheet, row, column++, (string)item["funcId"]);</v>
      </c>
      <c r="R25" s="1" t="str">
        <f t="shared" si="12"/>
        <v>paramDt.Add("@FUNC_ID" , FuncId );//VARCHAR</v>
      </c>
      <c r="S25" s="1" t="str">
        <f t="shared" si="13"/>
        <v>paramDt.Add("@FUNC_ID" , master.FuncId );//更新作業FunctionID</v>
      </c>
      <c r="T25" s="1" t="str">
        <f t="shared" si="14"/>
        <v>{ name: 'funcId' , sort: 'FUNC_ID' },</v>
      </c>
      <c r="U25" s="1" t="str">
        <f t="shared" si="15"/>
        <v>"funcId":"更新作業FunctionID",</v>
      </c>
      <c r="V25" s="1" t="str">
        <f t="shared" si="16"/>
        <v>this.vo.funcId = '' ; //更新作業FunctionID</v>
      </c>
    </row>
    <row r="26" spans="1:22" ht="14.5" x14ac:dyDescent="0.4">
      <c r="A26" s="1" t="s">
        <v>88</v>
      </c>
      <c r="D26" s="1" t="s">
        <v>5</v>
      </c>
      <c r="E26" s="5">
        <v>20</v>
      </c>
      <c r="F26" s="1" t="str">
        <f t="shared" si="7"/>
        <v/>
      </c>
      <c r="G26" s="1" t="str">
        <f t="shared" si="0"/>
        <v/>
      </c>
      <c r="H26" s="1" t="str">
        <f t="shared" si="17"/>
        <v>string</v>
      </c>
      <c r="I26" s="1" t="str">
        <f t="shared" si="8"/>
        <v xml:space="preserve">///&lt;summary&gt;
///
///&lt;/summary&gt;
public string  {get; set;}
</v>
      </c>
      <c r="J26" s="1" t="str">
        <f t="shared" si="2"/>
        <v xml:space="preserve"> AND t1. = @</v>
      </c>
      <c r="K26" s="1" t="str">
        <f t="shared" si="3"/>
        <v>t1.        AS ,</v>
      </c>
      <c r="L26" s="1" t="str">
        <f t="shared" si="4"/>
        <v>,</v>
      </c>
      <c r="M26" s="1" t="str">
        <f t="shared" si="5"/>
        <v>,@</v>
      </c>
      <c r="N26" s="1" t="str">
        <f t="shared" si="6"/>
        <v xml:space="preserve"> = @, </v>
      </c>
      <c r="O26" s="1" t="str">
        <f t="shared" si="9"/>
        <v>error += ExcelUtil.CheckValue(excelVo. , "", false, (null, null, 20), (true, false, false), (false, false));</v>
      </c>
      <c r="P26" s="1" t="str">
        <f t="shared" si="10"/>
        <v>excelVo. = StringUtil.IsNotEmpty(ExcelUtil.GetCell(sheet, i, j).ToString().TrimEnd())? ExcelUtil.GetCell(sheet, i, j).ToString().TrimEnd().ToUpper():"";j++;//</v>
      </c>
      <c r="Q26" s="1" t="str">
        <f t="shared" si="11"/>
        <v>ExcelUtil.SetContent(sheet, row, column++, (string)item[""]);</v>
      </c>
      <c r="R26" s="1" t="str">
        <f t="shared" si="12"/>
        <v>paramDt.Add("@" ,  );//VARCHAR</v>
      </c>
      <c r="S26" s="1" t="str">
        <f t="shared" si="13"/>
        <v>paramDt.Add("@" , master. );//</v>
      </c>
      <c r="T26" s="1" t="str">
        <f t="shared" si="14"/>
        <v>{ name: '' , sort: '' },</v>
      </c>
      <c r="U26" s="1" t="str">
        <f t="shared" si="15"/>
        <v>"":"",</v>
      </c>
      <c r="V26" s="1" t="str">
        <f t="shared" si="16"/>
        <v>this.vo. = '' ; //</v>
      </c>
    </row>
    <row r="27" spans="1:22" ht="14.5" x14ac:dyDescent="0.4">
      <c r="A27" s="1" t="s">
        <v>88</v>
      </c>
      <c r="D27" s="1" t="s">
        <v>9</v>
      </c>
      <c r="E27" s="5"/>
      <c r="F27" s="1" t="str">
        <f t="shared" si="7"/>
        <v/>
      </c>
      <c r="G27" s="1" t="str">
        <f t="shared" si="0"/>
        <v/>
      </c>
      <c r="H27" s="1" t="str">
        <f t="shared" si="17"/>
        <v>DateTime?</v>
      </c>
      <c r="I27" s="1" t="str">
        <f t="shared" si="8"/>
        <v xml:space="preserve">///&lt;summary&gt;
///
///&lt;/summary&gt;
public DateTime?  {get; set;}
</v>
      </c>
      <c r="J27" s="1" t="str">
        <f t="shared" si="2"/>
        <v xml:space="preserve"> AND t1. = @</v>
      </c>
      <c r="K27" s="1" t="str">
        <f t="shared" si="3"/>
        <v>t1.        AS ,</v>
      </c>
      <c r="L27" s="1" t="str">
        <f t="shared" si="4"/>
        <v>,</v>
      </c>
      <c r="M27" s="1" t="str">
        <f t="shared" si="5"/>
        <v>,@</v>
      </c>
      <c r="N27" s="1" t="str">
        <f t="shared" si="6"/>
        <v xml:space="preserve"> = @, </v>
      </c>
      <c r="O27" s="1" t="str">
        <f t="shared" si="9"/>
        <v>error += ExcelUtil.CheckValue(excelVo. , "", false, (null, null, ), (true, false, false), (false, false));</v>
      </c>
      <c r="P27" s="1" t="str">
        <f t="shared" si="10"/>
        <v>excelVo. = StringUtil.IsNotEmpty(ExcelUtil.GetCell(sheet, i, j).ToString().TrimEnd())? ExcelUtil.GetCell(sheet, i, j).ToString().TrimEnd().ToUpper():"";j++;//</v>
      </c>
      <c r="Q27" s="1" t="str">
        <f t="shared" si="11"/>
        <v>ExcelUtil.SetContent(sheet, row, column++, (string)item[""]);</v>
      </c>
      <c r="R27" s="1" t="str">
        <f t="shared" si="12"/>
        <v>paramDt.Add("@" ,  );//DATETIME</v>
      </c>
      <c r="S27" s="1" t="str">
        <f t="shared" si="13"/>
        <v>paramDt.Add("@" , master. );//</v>
      </c>
      <c r="T27" s="1" t="str">
        <f t="shared" si="14"/>
        <v>{ name: '' , sort: '' },</v>
      </c>
      <c r="U27" s="1" t="str">
        <f t="shared" si="15"/>
        <v>"":"",</v>
      </c>
      <c r="V27" s="1" t="str">
        <f t="shared" si="16"/>
        <v>this.vo. = '' ; //</v>
      </c>
    </row>
    <row r="28" spans="1:22" ht="14.5" x14ac:dyDescent="0.4">
      <c r="A28" s="1" t="s">
        <v>88</v>
      </c>
      <c r="D28" s="1" t="s">
        <v>5</v>
      </c>
      <c r="E28" s="5">
        <v>30</v>
      </c>
      <c r="F28" s="1" t="str">
        <f t="shared" si="7"/>
        <v/>
      </c>
      <c r="G28" s="1" t="str">
        <f t="shared" si="0"/>
        <v/>
      </c>
      <c r="H28" s="1" t="str">
        <f t="shared" si="17"/>
        <v>string</v>
      </c>
      <c r="I28" s="1" t="str">
        <f t="shared" si="8"/>
        <v xml:space="preserve">///&lt;summary&gt;
///
///&lt;/summary&gt;
public string  {get; set;}
</v>
      </c>
      <c r="J28" s="1" t="str">
        <f t="shared" si="2"/>
        <v xml:space="preserve"> AND t1. = @</v>
      </c>
      <c r="K28" s="1" t="str">
        <f t="shared" si="3"/>
        <v>t1.        AS ,</v>
      </c>
      <c r="L28" s="1" t="str">
        <f t="shared" si="4"/>
        <v>,</v>
      </c>
      <c r="M28" s="1" t="str">
        <f t="shared" si="5"/>
        <v>,@</v>
      </c>
      <c r="N28" s="1" t="str">
        <f t="shared" si="6"/>
        <v xml:space="preserve"> = @, </v>
      </c>
      <c r="O28" s="1" t="str">
        <f t="shared" si="9"/>
        <v>error += ExcelUtil.CheckValue(excelVo. , "", false, (null, null, 30), (true, false, false), (false, false));</v>
      </c>
      <c r="P28" s="1" t="str">
        <f t="shared" si="10"/>
        <v>excelVo. = StringUtil.IsNotEmpty(ExcelUtil.GetCell(sheet, i, j).ToString().TrimEnd())? ExcelUtil.GetCell(sheet, i, j).ToString().TrimEnd().ToUpper():"";j++;//</v>
      </c>
      <c r="Q28" s="1" t="str">
        <f t="shared" si="11"/>
        <v>ExcelUtil.SetContent(sheet, row, column++, (string)item[""]);</v>
      </c>
      <c r="R28" s="1" t="str">
        <f t="shared" si="12"/>
        <v>paramDt.Add("@" ,  );//VARCHAR</v>
      </c>
      <c r="S28" s="1" t="str">
        <f t="shared" si="13"/>
        <v>paramDt.Add("@" , master. );//</v>
      </c>
      <c r="T28" s="1" t="str">
        <f t="shared" si="14"/>
        <v>{ name: '' , sort: '' },</v>
      </c>
      <c r="U28" s="1" t="str">
        <f t="shared" si="15"/>
        <v>"":"",</v>
      </c>
      <c r="V28" s="1" t="str">
        <f t="shared" si="16"/>
        <v>this.vo. = '' ; //</v>
      </c>
    </row>
    <row r="29" spans="1:22" ht="14.5" x14ac:dyDescent="0.4">
      <c r="A29" s="1" t="s">
        <v>88</v>
      </c>
      <c r="D29" s="1" t="s">
        <v>5</v>
      </c>
      <c r="E29" s="5">
        <v>30</v>
      </c>
      <c r="F29" s="1" t="str">
        <f t="shared" si="7"/>
        <v/>
      </c>
      <c r="G29" s="1" t="str">
        <f t="shared" si="0"/>
        <v/>
      </c>
      <c r="H29" s="1" t="str">
        <f t="shared" si="17"/>
        <v>string</v>
      </c>
      <c r="I29" s="1" t="str">
        <f t="shared" si="8"/>
        <v xml:space="preserve">///&lt;summary&gt;
///
///&lt;/summary&gt;
public string  {get; set;}
</v>
      </c>
      <c r="J29" s="1" t="str">
        <f t="shared" si="2"/>
        <v xml:space="preserve"> AND t1. = @</v>
      </c>
      <c r="K29" s="1" t="str">
        <f t="shared" si="3"/>
        <v>t1.        AS ,</v>
      </c>
      <c r="L29" s="1" t="str">
        <f t="shared" si="4"/>
        <v>,</v>
      </c>
      <c r="M29" s="1" t="str">
        <f t="shared" si="5"/>
        <v>,@</v>
      </c>
      <c r="N29" s="1" t="str">
        <f t="shared" si="6"/>
        <v xml:space="preserve"> = @, </v>
      </c>
      <c r="O29" s="1" t="str">
        <f t="shared" si="9"/>
        <v>error += ExcelUtil.CheckValue(excelVo. , "", false, (null, null, 30), (true, false, false), (false, false));</v>
      </c>
      <c r="P29" s="1" t="str">
        <f t="shared" si="10"/>
        <v>excelVo. = StringUtil.IsNotEmpty(ExcelUtil.GetCell(sheet, i, j).ToString().TrimEnd())? ExcelUtil.GetCell(sheet, i, j).ToString().TrimEnd().ToUpper():"";j++;//</v>
      </c>
      <c r="Q29" s="1" t="str">
        <f t="shared" si="11"/>
        <v>ExcelUtil.SetContent(sheet, row, column++, (string)item[""]);</v>
      </c>
      <c r="R29" s="1" t="str">
        <f t="shared" si="12"/>
        <v>paramDt.Add("@" ,  );//VARCHAR</v>
      </c>
      <c r="S29" s="1" t="str">
        <f t="shared" si="13"/>
        <v>paramDt.Add("@" , master. );//</v>
      </c>
      <c r="T29" s="1" t="str">
        <f t="shared" si="14"/>
        <v>{ name: '' , sort: '' },</v>
      </c>
      <c r="U29" s="1" t="str">
        <f t="shared" si="15"/>
        <v>"":"",</v>
      </c>
      <c r="V29" s="1" t="str">
        <f t="shared" si="16"/>
        <v>this.vo. = '' ; //</v>
      </c>
    </row>
    <row r="30" spans="1:22" x14ac:dyDescent="0.4">
      <c r="A30" s="1" t="s">
        <v>88</v>
      </c>
      <c r="D30" s="1" t="s">
        <v>5</v>
      </c>
      <c r="H30" s="1" t="str">
        <f t="shared" si="17"/>
        <v>string</v>
      </c>
      <c r="I30" s="1" t="str">
        <f t="shared" si="8"/>
        <v xml:space="preserve">///&lt;summary&gt;
///
///&lt;/summary&gt;
public string  {get; set;}
</v>
      </c>
      <c r="J30" s="1" t="str">
        <f t="shared" si="2"/>
        <v xml:space="preserve"> AND t1. = @</v>
      </c>
      <c r="K30" s="1" t="str">
        <f t="shared" si="3"/>
        <v>t1.        AS ,</v>
      </c>
      <c r="L30" s="1" t="str">
        <f t="shared" si="4"/>
        <v>,</v>
      </c>
      <c r="M30" s="1" t="str">
        <f t="shared" si="5"/>
        <v>,@</v>
      </c>
      <c r="N30" s="1" t="str">
        <f t="shared" si="6"/>
        <v xml:space="preserve"> = @, </v>
      </c>
      <c r="O30" s="1" t="str">
        <f t="shared" si="9"/>
        <v>error += ExcelUtil.CheckValue(excelVo. , "", false, (null, null, ), (true, false, false), (false, false));</v>
      </c>
      <c r="P30" s="1" t="str">
        <f t="shared" si="10"/>
        <v>excelVo. = StringUtil.IsNotEmpty(ExcelUtil.GetCell(sheet, i, j).ToString().TrimEnd())? ExcelUtil.GetCell(sheet, i, j).ToString().TrimEnd().ToUpper():"";j++;//</v>
      </c>
      <c r="Q30" s="1" t="str">
        <f t="shared" si="11"/>
        <v>ExcelUtil.SetContent(sheet, row, column++, (string)item[""]);</v>
      </c>
      <c r="R30" s="1" t="str">
        <f t="shared" si="12"/>
        <v>paramDt.Add("@" ,  );//VARCHAR</v>
      </c>
      <c r="S30" s="1" t="str">
        <f t="shared" si="13"/>
        <v>paramDt.Add("@" , master. );//</v>
      </c>
      <c r="T30" s="1" t="str">
        <f t="shared" ref="T30:T88" si="18">"{ name: '"&amp;F30&amp;"' , sort: '"&amp;F30&amp;"' },"</f>
        <v>{ name: '' , sort: '' },</v>
      </c>
      <c r="U30" s="1" t="str">
        <f t="shared" si="15"/>
        <v>"":"",</v>
      </c>
      <c r="V30" s="1" t="str">
        <f t="shared" si="16"/>
        <v>this.vo. = '' ; //</v>
      </c>
    </row>
    <row r="31" spans="1:22" x14ac:dyDescent="0.4">
      <c r="A31" s="1" t="s">
        <v>88</v>
      </c>
      <c r="D31" s="1" t="s">
        <v>5</v>
      </c>
      <c r="H31" s="1" t="str">
        <f t="shared" si="17"/>
        <v>string</v>
      </c>
      <c r="I31" s="1" t="str">
        <f t="shared" si="8"/>
        <v xml:space="preserve">///&lt;summary&gt;
///
///&lt;/summary&gt;
public string  {get; set;}
</v>
      </c>
      <c r="J31" s="1" t="str">
        <f t="shared" si="2"/>
        <v xml:space="preserve"> AND t1. = @</v>
      </c>
      <c r="K31" s="1" t="str">
        <f t="shared" si="3"/>
        <v>t1.        AS ,</v>
      </c>
      <c r="L31" s="1" t="str">
        <f t="shared" si="4"/>
        <v>,</v>
      </c>
      <c r="M31" s="1" t="str">
        <f t="shared" si="5"/>
        <v>,@</v>
      </c>
      <c r="N31" s="1" t="str">
        <f t="shared" si="6"/>
        <v xml:space="preserve"> = @, </v>
      </c>
      <c r="O31" s="1" t="str">
        <f t="shared" si="9"/>
        <v>error += ExcelUtil.CheckValue(excelVo. , "", false, (null, null, ), (true, false, false), (false, false));</v>
      </c>
      <c r="P31" s="1" t="str">
        <f t="shared" si="10"/>
        <v>excelVo. = StringUtil.IsNotEmpty(ExcelUtil.GetCell(sheet, i, j).ToString().TrimEnd())? ExcelUtil.GetCell(sheet, i, j).ToString().TrimEnd().ToUpper():"";j++;//</v>
      </c>
      <c r="Q31" s="1" t="str">
        <f t="shared" si="11"/>
        <v>ExcelUtil.SetContent(sheet, row, column++, (string)item[""]);</v>
      </c>
      <c r="R31" s="1" t="str">
        <f t="shared" si="12"/>
        <v>paramDt.Add("@" ,  );//VARCHAR</v>
      </c>
      <c r="S31" s="1" t="str">
        <f t="shared" si="13"/>
        <v>paramDt.Add("@" , master. );//</v>
      </c>
      <c r="T31" s="1" t="str">
        <f t="shared" si="18"/>
        <v>{ name: '' , sort: '' },</v>
      </c>
      <c r="U31" s="1" t="str">
        <f t="shared" si="15"/>
        <v>"":"",</v>
      </c>
      <c r="V31" s="1" t="str">
        <f t="shared" si="16"/>
        <v>this.vo. = '' ; //</v>
      </c>
    </row>
    <row r="32" spans="1:22" x14ac:dyDescent="0.4">
      <c r="A32" s="1" t="s">
        <v>88</v>
      </c>
      <c r="D32" s="1" t="s">
        <v>5</v>
      </c>
      <c r="H32" s="1" t="str">
        <f t="shared" si="17"/>
        <v>string</v>
      </c>
      <c r="I32" s="1" t="str">
        <f t="shared" si="8"/>
        <v xml:space="preserve">///&lt;summary&gt;
///
///&lt;/summary&gt;
public string  {get; set;}
</v>
      </c>
      <c r="J32" s="1" t="str">
        <f t="shared" si="2"/>
        <v xml:space="preserve"> AND t1. = @</v>
      </c>
      <c r="K32" s="1" t="str">
        <f t="shared" si="3"/>
        <v>t1.        AS ,</v>
      </c>
      <c r="L32" s="1" t="str">
        <f t="shared" si="4"/>
        <v>,</v>
      </c>
      <c r="M32" s="1" t="str">
        <f t="shared" si="5"/>
        <v>,@</v>
      </c>
      <c r="N32" s="1" t="str">
        <f t="shared" si="6"/>
        <v xml:space="preserve"> = @, </v>
      </c>
      <c r="O32" s="1" t="str">
        <f t="shared" si="9"/>
        <v>error += ExcelUtil.CheckValue(excelVo. , "", false, (null, null, ), (true, false, false), (false, false));</v>
      </c>
      <c r="P32" s="1" t="str">
        <f t="shared" si="10"/>
        <v>excelVo. = StringUtil.IsNotEmpty(ExcelUtil.GetCell(sheet, i, j).ToString().TrimEnd())? ExcelUtil.GetCell(sheet, i, j).ToString().TrimEnd().ToUpper():"";j++;//</v>
      </c>
      <c r="Q32" s="1" t="str">
        <f t="shared" si="11"/>
        <v>ExcelUtil.SetContent(sheet, row, column++, (string)item[""]);</v>
      </c>
      <c r="R32" s="1" t="str">
        <f t="shared" si="12"/>
        <v>paramDt.Add("@" ,  );//VARCHAR</v>
      </c>
      <c r="S32" s="1" t="str">
        <f t="shared" si="13"/>
        <v>paramDt.Add("@" , master. );//</v>
      </c>
      <c r="T32" s="1" t="str">
        <f t="shared" si="18"/>
        <v>{ name: '' , sort: '' },</v>
      </c>
      <c r="U32" s="1" t="str">
        <f t="shared" si="15"/>
        <v>"":"",</v>
      </c>
      <c r="V32" s="1" t="str">
        <f t="shared" si="16"/>
        <v>this.vo. = '' ; //</v>
      </c>
    </row>
    <row r="33" spans="1:22" x14ac:dyDescent="0.4">
      <c r="A33" s="1" t="s">
        <v>88</v>
      </c>
      <c r="D33" s="1" t="s">
        <v>6</v>
      </c>
      <c r="H33" s="1" t="str">
        <f t="shared" si="17"/>
        <v>decimal?</v>
      </c>
      <c r="I33" s="1" t="str">
        <f t="shared" si="8"/>
        <v xml:space="preserve">///&lt;summary&gt;
///
///&lt;/summary&gt;
public decimal?  {get; set;}
</v>
      </c>
      <c r="J33" s="1" t="str">
        <f t="shared" si="2"/>
        <v xml:space="preserve"> AND t1. = @</v>
      </c>
      <c r="K33" s="1" t="str">
        <f t="shared" si="3"/>
        <v>t1.        AS ,</v>
      </c>
      <c r="L33" s="1" t="str">
        <f t="shared" si="4"/>
        <v>,</v>
      </c>
      <c r="M33" s="1" t="str">
        <f t="shared" si="5"/>
        <v>,@</v>
      </c>
      <c r="N33" s="1" t="str">
        <f t="shared" si="6"/>
        <v xml:space="preserve"> = @, </v>
      </c>
      <c r="O33" s="1" t="str">
        <f t="shared" si="9"/>
        <v>error += ExcelUtil.CheckValue(excelVo..ToString()  , "", false, (null, null, ), (false, false, true), (false, false));</v>
      </c>
      <c r="P33" s="1" t="str">
        <f t="shared" si="10"/>
        <v>excelVo. = StringUtil.IsNotEmpty(ExcelUtil.GetCell(sheet, i, j).ToString().TrimEnd())? ExcelUtil.GetCell(sheet, i, j).ToString().TrimEnd().ToUpper():"";j++;//</v>
      </c>
      <c r="Q33" s="1" t="str">
        <f t="shared" si="11"/>
        <v>ExcelUtil.SetContent(sheet, row, column++, (string)item[""]);</v>
      </c>
      <c r="R33" s="1" t="str">
        <f t="shared" si="12"/>
        <v>paramDt.Add("@" ,  );//DECIMAL</v>
      </c>
      <c r="S33" s="1" t="str">
        <f t="shared" si="13"/>
        <v>paramDt.Add("@" , master. );//</v>
      </c>
      <c r="T33" s="1" t="str">
        <f t="shared" si="18"/>
        <v>{ name: '' , sort: '' },</v>
      </c>
      <c r="U33" s="1" t="str">
        <f t="shared" si="15"/>
        <v>"":"",</v>
      </c>
      <c r="V33" s="1" t="str">
        <f t="shared" si="16"/>
        <v>this.vo. = 0 ; //</v>
      </c>
    </row>
    <row r="34" spans="1:22" x14ac:dyDescent="0.4">
      <c r="A34" s="1" t="s">
        <v>88</v>
      </c>
      <c r="D34" s="1" t="s">
        <v>5</v>
      </c>
      <c r="H34" s="1" t="str">
        <f t="shared" si="17"/>
        <v>string</v>
      </c>
      <c r="I34" s="1" t="str">
        <f t="shared" si="8"/>
        <v xml:space="preserve">///&lt;summary&gt;
///
///&lt;/summary&gt;
public string  {get; set;}
</v>
      </c>
      <c r="J34" s="1" t="str">
        <f t="shared" si="2"/>
        <v xml:space="preserve"> AND t1. = @</v>
      </c>
      <c r="K34" s="1" t="str">
        <f t="shared" si="3"/>
        <v>t1.        AS ,</v>
      </c>
      <c r="L34" s="1" t="str">
        <f t="shared" si="4"/>
        <v>,</v>
      </c>
      <c r="M34" s="1" t="str">
        <f t="shared" si="5"/>
        <v>,@</v>
      </c>
      <c r="N34" s="1" t="str">
        <f t="shared" si="6"/>
        <v xml:space="preserve"> = @, </v>
      </c>
      <c r="O34" s="1" t="str">
        <f t="shared" si="9"/>
        <v>error += ExcelUtil.CheckValue(excelVo. , "", false, (null, null, ), (true, false, false), (false, false));</v>
      </c>
      <c r="P34" s="1" t="str">
        <f t="shared" si="10"/>
        <v>excelVo. = StringUtil.IsNotEmpty(ExcelUtil.GetCell(sheet, i, j).ToString().TrimEnd())? ExcelUtil.GetCell(sheet, i, j).ToString().TrimEnd().ToUpper():"";j++;//</v>
      </c>
      <c r="Q34" s="1" t="str">
        <f t="shared" si="11"/>
        <v>ExcelUtil.SetContent(sheet, row, column++, (string)item[""]);</v>
      </c>
      <c r="R34" s="1" t="str">
        <f t="shared" si="12"/>
        <v>paramDt.Add("@" ,  );//VARCHAR</v>
      </c>
      <c r="S34" s="1" t="str">
        <f t="shared" si="13"/>
        <v>paramDt.Add("@" , master. );//</v>
      </c>
      <c r="T34" s="1" t="str">
        <f t="shared" si="18"/>
        <v>{ name: '' , sort: '' },</v>
      </c>
      <c r="U34" s="1" t="str">
        <f t="shared" si="15"/>
        <v>"":"",</v>
      </c>
      <c r="V34" s="1" t="str">
        <f t="shared" si="16"/>
        <v>this.vo. = '' ; //</v>
      </c>
    </row>
    <row r="35" spans="1:22" x14ac:dyDescent="0.4">
      <c r="A35" s="1" t="s">
        <v>88</v>
      </c>
      <c r="D35" s="1" t="s">
        <v>5</v>
      </c>
      <c r="H35" s="1" t="str">
        <f t="shared" si="17"/>
        <v>string</v>
      </c>
      <c r="I35" s="1" t="str">
        <f t="shared" si="8"/>
        <v xml:space="preserve">///&lt;summary&gt;
///
///&lt;/summary&gt;
public string  {get; set;}
</v>
      </c>
      <c r="J35" s="1" t="str">
        <f t="shared" si="2"/>
        <v xml:space="preserve"> AND t1. = @</v>
      </c>
      <c r="K35" s="1" t="str">
        <f t="shared" si="3"/>
        <v>t1.        AS ,</v>
      </c>
      <c r="L35" s="1" t="str">
        <f t="shared" si="4"/>
        <v>,</v>
      </c>
      <c r="M35" s="1" t="str">
        <f t="shared" si="5"/>
        <v>,@</v>
      </c>
      <c r="N35" s="1" t="str">
        <f t="shared" si="6"/>
        <v xml:space="preserve"> = @, </v>
      </c>
      <c r="O35" s="1" t="str">
        <f t="shared" si="9"/>
        <v>error += ExcelUtil.CheckValue(excelVo. , "", false, (null, null, ), (true, false, false), (false, false));</v>
      </c>
      <c r="P35" s="1" t="str">
        <f t="shared" si="10"/>
        <v>excelVo. = StringUtil.IsNotEmpty(ExcelUtil.GetCell(sheet, i, j).ToString().TrimEnd())? ExcelUtil.GetCell(sheet, i, j).ToString().TrimEnd().ToUpper():"";j++;//</v>
      </c>
      <c r="Q35" s="1" t="str">
        <f t="shared" si="11"/>
        <v>ExcelUtil.SetContent(sheet, row, column++, (string)item[""]);</v>
      </c>
      <c r="R35" s="1" t="str">
        <f t="shared" si="12"/>
        <v>paramDt.Add("@" ,  );//VARCHAR</v>
      </c>
      <c r="S35" s="1" t="str">
        <f t="shared" si="13"/>
        <v>paramDt.Add("@" , master. );//</v>
      </c>
      <c r="T35" s="1" t="str">
        <f t="shared" si="18"/>
        <v>{ name: '' , sort: '' },</v>
      </c>
      <c r="U35" s="1" t="str">
        <f t="shared" si="15"/>
        <v>"":"",</v>
      </c>
      <c r="V35" s="1" t="str">
        <f t="shared" si="16"/>
        <v>this.vo. = '' ; //</v>
      </c>
    </row>
    <row r="36" spans="1:22" x14ac:dyDescent="0.4">
      <c r="A36" s="1" t="s">
        <v>88</v>
      </c>
      <c r="D36" s="1" t="s">
        <v>5</v>
      </c>
      <c r="H36" s="1" t="str">
        <f t="shared" si="17"/>
        <v>string</v>
      </c>
      <c r="I36" s="1" t="str">
        <f t="shared" si="8"/>
        <v xml:space="preserve">///&lt;summary&gt;
///
///&lt;/summary&gt;
public string  {get; set;}
</v>
      </c>
      <c r="J36" s="1" t="str">
        <f t="shared" si="2"/>
        <v xml:space="preserve"> AND t1. = @</v>
      </c>
      <c r="K36" s="1" t="str">
        <f t="shared" si="3"/>
        <v>t1.        AS ,</v>
      </c>
      <c r="L36" s="1" t="str">
        <f t="shared" si="4"/>
        <v>,</v>
      </c>
      <c r="M36" s="1" t="str">
        <f t="shared" si="5"/>
        <v>,@</v>
      </c>
      <c r="N36" s="1" t="str">
        <f t="shared" si="6"/>
        <v xml:space="preserve"> = @, </v>
      </c>
      <c r="O36" s="1" t="str">
        <f t="shared" si="9"/>
        <v>error += ExcelUtil.CheckValue(excelVo. , "", false, (null, null, ), (true, false, false), (false, false));</v>
      </c>
      <c r="P36" s="1" t="str">
        <f t="shared" si="10"/>
        <v>excelVo. = StringUtil.IsNotEmpty(ExcelUtil.GetCell(sheet, i, j).ToString().TrimEnd())? ExcelUtil.GetCell(sheet, i, j).ToString().TrimEnd().ToUpper():"";j++;//</v>
      </c>
      <c r="Q36" s="1" t="str">
        <f t="shared" si="11"/>
        <v>ExcelUtil.SetContent(sheet, row, column++, (string)item[""]);</v>
      </c>
      <c r="R36" s="1" t="str">
        <f t="shared" si="12"/>
        <v>paramDt.Add("@" ,  );//VARCHAR</v>
      </c>
      <c r="S36" s="1" t="str">
        <f t="shared" si="13"/>
        <v>paramDt.Add("@" , master. );//</v>
      </c>
      <c r="T36" s="1" t="str">
        <f t="shared" si="18"/>
        <v>{ name: '' , sort: '' },</v>
      </c>
      <c r="U36" s="1" t="str">
        <f t="shared" si="15"/>
        <v>"":"",</v>
      </c>
      <c r="V36" s="1" t="str">
        <f t="shared" si="16"/>
        <v>this.vo. = '' ; //</v>
      </c>
    </row>
    <row r="37" spans="1:22" x14ac:dyDescent="0.4">
      <c r="A37" s="1" t="s">
        <v>88</v>
      </c>
      <c r="D37" s="1" t="s">
        <v>5</v>
      </c>
      <c r="H37" s="1" t="str">
        <f t="shared" si="17"/>
        <v>string</v>
      </c>
      <c r="I37" s="1" t="str">
        <f t="shared" si="8"/>
        <v xml:space="preserve">///&lt;summary&gt;
///
///&lt;/summary&gt;
public string  {get; set;}
</v>
      </c>
      <c r="J37" s="1" t="str">
        <f t="shared" si="2"/>
        <v xml:space="preserve"> AND t1. = @</v>
      </c>
      <c r="K37" s="1" t="str">
        <f t="shared" si="3"/>
        <v>t1.        AS ,</v>
      </c>
      <c r="L37" s="1" t="str">
        <f t="shared" si="4"/>
        <v>,</v>
      </c>
      <c r="M37" s="1" t="str">
        <f t="shared" si="5"/>
        <v>,@</v>
      </c>
      <c r="N37" s="1" t="str">
        <f t="shared" si="6"/>
        <v xml:space="preserve"> = @, </v>
      </c>
      <c r="O37" s="1" t="str">
        <f t="shared" si="9"/>
        <v>error += ExcelUtil.CheckValue(excelVo. , "", false, (null, null, ), (true, false, false), (false, false));</v>
      </c>
      <c r="P37" s="1" t="str">
        <f t="shared" si="10"/>
        <v>excelVo. = StringUtil.IsNotEmpty(ExcelUtil.GetCell(sheet, i, j).ToString().TrimEnd())? ExcelUtil.GetCell(sheet, i, j).ToString().TrimEnd().ToUpper():"";j++;//</v>
      </c>
      <c r="Q37" s="1" t="str">
        <f t="shared" si="11"/>
        <v>ExcelUtil.SetContent(sheet, row, column++, (string)item[""]);</v>
      </c>
      <c r="R37" s="1" t="str">
        <f t="shared" si="12"/>
        <v>paramDt.Add("@" ,  );//VARCHAR</v>
      </c>
      <c r="S37" s="1" t="str">
        <f t="shared" si="13"/>
        <v>paramDt.Add("@" , master. );//</v>
      </c>
      <c r="T37" s="1" t="str">
        <f t="shared" si="18"/>
        <v>{ name: '' , sort: '' },</v>
      </c>
      <c r="U37" s="1" t="str">
        <f t="shared" si="15"/>
        <v>"":"",</v>
      </c>
      <c r="V37" s="1" t="str">
        <f t="shared" si="16"/>
        <v>this.vo. = '' ; //</v>
      </c>
    </row>
    <row r="38" spans="1:22" x14ac:dyDescent="0.4">
      <c r="A38" s="1" t="s">
        <v>88</v>
      </c>
      <c r="D38" s="1" t="s">
        <v>6</v>
      </c>
      <c r="H38" s="1" t="str">
        <f t="shared" si="17"/>
        <v>decimal?</v>
      </c>
      <c r="I38" s="1" t="str">
        <f t="shared" si="8"/>
        <v xml:space="preserve">///&lt;summary&gt;
///
///&lt;/summary&gt;
public decimal?  {get; set;}
</v>
      </c>
      <c r="J38" s="1" t="str">
        <f t="shared" si="2"/>
        <v xml:space="preserve"> AND t1. = @</v>
      </c>
      <c r="K38" s="1" t="str">
        <f t="shared" si="3"/>
        <v>t1.        AS ,</v>
      </c>
      <c r="L38" s="1" t="str">
        <f t="shared" si="4"/>
        <v>,</v>
      </c>
      <c r="M38" s="1" t="str">
        <f t="shared" si="5"/>
        <v>,@</v>
      </c>
      <c r="N38" s="1" t="str">
        <f t="shared" si="6"/>
        <v xml:space="preserve"> = @, </v>
      </c>
      <c r="O38" s="1" t="str">
        <f t="shared" si="9"/>
        <v>error += ExcelUtil.CheckValue(excelVo..ToString()  , "", false, (null, null, ), (false, false, true), (false, false));</v>
      </c>
      <c r="P38" s="1" t="str">
        <f t="shared" si="10"/>
        <v>excelVo. = StringUtil.IsNotEmpty(ExcelUtil.GetCell(sheet, i, j).ToString().TrimEnd())? ExcelUtil.GetCell(sheet, i, j).ToString().TrimEnd().ToUpper():"";j++;//</v>
      </c>
      <c r="Q38" s="1" t="str">
        <f t="shared" si="11"/>
        <v>ExcelUtil.SetContent(sheet, row, column++, (string)item[""]);</v>
      </c>
      <c r="R38" s="1" t="str">
        <f t="shared" si="12"/>
        <v>paramDt.Add("@" ,  );//DECIMAL</v>
      </c>
      <c r="S38" s="1" t="str">
        <f t="shared" si="13"/>
        <v>paramDt.Add("@" , master. );//</v>
      </c>
      <c r="T38" s="1" t="str">
        <f t="shared" si="18"/>
        <v>{ name: '' , sort: '' },</v>
      </c>
      <c r="U38" s="1" t="str">
        <f t="shared" si="15"/>
        <v>"":"",</v>
      </c>
      <c r="V38" s="1" t="str">
        <f t="shared" si="16"/>
        <v>this.vo. = 0 ; //</v>
      </c>
    </row>
    <row r="39" spans="1:22" x14ac:dyDescent="0.4">
      <c r="A39" s="1" t="s">
        <v>88</v>
      </c>
      <c r="D39" s="1" t="s">
        <v>6</v>
      </c>
      <c r="H39" s="1" t="str">
        <f t="shared" si="17"/>
        <v>decimal?</v>
      </c>
      <c r="I39" s="1" t="str">
        <f t="shared" si="8"/>
        <v xml:space="preserve">///&lt;summary&gt;
///
///&lt;/summary&gt;
public decimal?  {get; set;}
</v>
      </c>
      <c r="J39" s="1" t="str">
        <f t="shared" si="2"/>
        <v xml:space="preserve"> AND t1. = @</v>
      </c>
      <c r="K39" s="1" t="str">
        <f t="shared" si="3"/>
        <v>t1.        AS ,</v>
      </c>
      <c r="L39" s="1" t="str">
        <f t="shared" si="4"/>
        <v>,</v>
      </c>
      <c r="M39" s="1" t="str">
        <f t="shared" si="5"/>
        <v>,@</v>
      </c>
      <c r="N39" s="1" t="str">
        <f t="shared" si="6"/>
        <v xml:space="preserve"> = @, </v>
      </c>
      <c r="O39" s="1" t="str">
        <f t="shared" si="9"/>
        <v>error += ExcelUtil.CheckValue(excelVo..ToString()  , "", false, (null, null, ), (false, false, true), (false, false));</v>
      </c>
      <c r="P39" s="1" t="str">
        <f t="shared" si="10"/>
        <v>excelVo. = StringUtil.IsNotEmpty(ExcelUtil.GetCell(sheet, i, j).ToString().TrimEnd())? ExcelUtil.GetCell(sheet, i, j).ToString().TrimEnd().ToUpper():"";j++;//</v>
      </c>
      <c r="Q39" s="1" t="str">
        <f t="shared" si="11"/>
        <v>ExcelUtil.SetContent(sheet, row, column++, (string)item[""]);</v>
      </c>
      <c r="R39" s="1" t="str">
        <f t="shared" si="12"/>
        <v>paramDt.Add("@" ,  );//DECIMAL</v>
      </c>
      <c r="S39" s="1" t="str">
        <f t="shared" si="13"/>
        <v>paramDt.Add("@" , master. );//</v>
      </c>
      <c r="T39" s="1" t="str">
        <f t="shared" si="18"/>
        <v>{ name: '' , sort: '' },</v>
      </c>
      <c r="U39" s="1" t="str">
        <f t="shared" si="15"/>
        <v>"":"",</v>
      </c>
      <c r="V39" s="1" t="str">
        <f t="shared" si="16"/>
        <v>this.vo. = 0 ; //</v>
      </c>
    </row>
    <row r="40" spans="1:22" x14ac:dyDescent="0.4">
      <c r="A40" s="1" t="s">
        <v>88</v>
      </c>
      <c r="D40" s="1" t="s">
        <v>6</v>
      </c>
      <c r="H40" s="1" t="str">
        <f t="shared" si="17"/>
        <v>decimal?</v>
      </c>
      <c r="I40" s="1" t="str">
        <f t="shared" si="8"/>
        <v xml:space="preserve">///&lt;summary&gt;
///
///&lt;/summary&gt;
public decimal?  {get; set;}
</v>
      </c>
      <c r="J40" s="1" t="str">
        <f t="shared" si="2"/>
        <v xml:space="preserve"> AND t1. = @</v>
      </c>
      <c r="K40" s="1" t="str">
        <f t="shared" si="3"/>
        <v>t1.        AS ,</v>
      </c>
      <c r="L40" s="1" t="str">
        <f t="shared" si="4"/>
        <v>,</v>
      </c>
      <c r="M40" s="1" t="str">
        <f t="shared" si="5"/>
        <v>,@</v>
      </c>
      <c r="N40" s="1" t="str">
        <f t="shared" si="6"/>
        <v xml:space="preserve"> = @, </v>
      </c>
      <c r="O40" s="1" t="str">
        <f t="shared" si="9"/>
        <v>error += ExcelUtil.CheckValue(excelVo..ToString()  , "", false, (null, null, ), (false, false, true), (false, false));</v>
      </c>
      <c r="P40" s="1" t="str">
        <f t="shared" si="10"/>
        <v>excelVo. = StringUtil.IsNotEmpty(ExcelUtil.GetCell(sheet, i, j).ToString().TrimEnd())? ExcelUtil.GetCell(sheet, i, j).ToString().TrimEnd().ToUpper():"";j++;//</v>
      </c>
      <c r="Q40" s="1" t="str">
        <f t="shared" si="11"/>
        <v>ExcelUtil.SetContent(sheet, row, column++, (string)item[""]);</v>
      </c>
      <c r="R40" s="1" t="str">
        <f t="shared" si="12"/>
        <v>paramDt.Add("@" ,  );//DECIMAL</v>
      </c>
      <c r="S40" s="1" t="str">
        <f t="shared" si="13"/>
        <v>paramDt.Add("@" , master. );//</v>
      </c>
      <c r="T40" s="1" t="str">
        <f t="shared" si="18"/>
        <v>{ name: '' , sort: '' },</v>
      </c>
      <c r="U40" s="1" t="str">
        <f t="shared" si="15"/>
        <v>"":"",</v>
      </c>
      <c r="V40" s="1" t="str">
        <f t="shared" si="16"/>
        <v>this.vo. = 0 ; //</v>
      </c>
    </row>
    <row r="41" spans="1:22" x14ac:dyDescent="0.4">
      <c r="A41" s="1" t="s">
        <v>88</v>
      </c>
      <c r="D41" s="1" t="s">
        <v>6</v>
      </c>
      <c r="H41" s="1" t="str">
        <f t="shared" si="17"/>
        <v>decimal?</v>
      </c>
      <c r="I41" s="1" t="str">
        <f t="shared" si="8"/>
        <v xml:space="preserve">///&lt;summary&gt;
///
///&lt;/summary&gt;
public decimal?  {get; set;}
</v>
      </c>
      <c r="J41" s="1" t="str">
        <f t="shared" si="2"/>
        <v xml:space="preserve"> AND t1. = @</v>
      </c>
      <c r="K41" s="1" t="str">
        <f t="shared" si="3"/>
        <v>t1.        AS ,</v>
      </c>
      <c r="L41" s="1" t="str">
        <f t="shared" si="4"/>
        <v>,</v>
      </c>
      <c r="M41" s="1" t="str">
        <f t="shared" si="5"/>
        <v>,@</v>
      </c>
      <c r="N41" s="1" t="str">
        <f t="shared" si="6"/>
        <v xml:space="preserve"> = @, </v>
      </c>
      <c r="O41" s="1" t="str">
        <f t="shared" si="9"/>
        <v>error += ExcelUtil.CheckValue(excelVo..ToString()  , "", false, (null, null, ), (false, false, true), (false, false));</v>
      </c>
      <c r="P41" s="1" t="str">
        <f t="shared" si="10"/>
        <v>excelVo. = StringUtil.IsNotEmpty(ExcelUtil.GetCell(sheet, i, j).ToString().TrimEnd())? ExcelUtil.GetCell(sheet, i, j).ToString().TrimEnd().ToUpper():"";j++;//</v>
      </c>
      <c r="Q41" s="1" t="str">
        <f t="shared" si="11"/>
        <v>ExcelUtil.SetContent(sheet, row, column++, (string)item[""]);</v>
      </c>
      <c r="R41" s="1" t="str">
        <f t="shared" si="12"/>
        <v>paramDt.Add("@" ,  );//DECIMAL</v>
      </c>
      <c r="S41" s="1" t="str">
        <f t="shared" si="13"/>
        <v>paramDt.Add("@" , master. );//</v>
      </c>
      <c r="T41" s="1" t="str">
        <f t="shared" si="18"/>
        <v>{ name: '' , sort: '' },</v>
      </c>
      <c r="U41" s="1" t="str">
        <f t="shared" si="15"/>
        <v>"":"",</v>
      </c>
      <c r="V41" s="1" t="str">
        <f t="shared" si="16"/>
        <v>this.vo. = 0 ; //</v>
      </c>
    </row>
    <row r="42" spans="1:22" x14ac:dyDescent="0.4">
      <c r="A42" s="1" t="s">
        <v>88</v>
      </c>
      <c r="D42" s="1" t="s">
        <v>6</v>
      </c>
      <c r="H42" s="1" t="str">
        <f t="shared" si="17"/>
        <v>decimal?</v>
      </c>
      <c r="I42" s="1" t="str">
        <f t="shared" si="8"/>
        <v xml:space="preserve">///&lt;summary&gt;
///
///&lt;/summary&gt;
public decimal?  {get; set;}
</v>
      </c>
      <c r="J42" s="1" t="str">
        <f t="shared" si="2"/>
        <v xml:space="preserve"> AND t1. = @</v>
      </c>
      <c r="K42" s="1" t="str">
        <f t="shared" si="3"/>
        <v>t1.        AS ,</v>
      </c>
      <c r="L42" s="1" t="str">
        <f t="shared" si="4"/>
        <v>,</v>
      </c>
      <c r="M42" s="1" t="str">
        <f t="shared" si="5"/>
        <v>,@</v>
      </c>
      <c r="N42" s="1" t="str">
        <f t="shared" si="6"/>
        <v xml:space="preserve"> = @, </v>
      </c>
      <c r="O42" s="1" t="str">
        <f t="shared" si="9"/>
        <v>error += ExcelUtil.CheckValue(excelVo..ToString()  , "", false, (null, null, ), (false, false, true), (false, false));</v>
      </c>
      <c r="P42" s="1" t="str">
        <f t="shared" si="10"/>
        <v>excelVo. = StringUtil.IsNotEmpty(ExcelUtil.GetCell(sheet, i, j).ToString().TrimEnd())? ExcelUtil.GetCell(sheet, i, j).ToString().TrimEnd().ToUpper():"";j++;//</v>
      </c>
      <c r="Q42" s="1" t="str">
        <f t="shared" si="11"/>
        <v>ExcelUtil.SetContent(sheet, row, column++, (string)item[""]);</v>
      </c>
      <c r="R42" s="1" t="str">
        <f t="shared" si="12"/>
        <v>paramDt.Add("@" ,  );//DECIMAL</v>
      </c>
      <c r="S42" s="1" t="str">
        <f t="shared" si="13"/>
        <v>paramDt.Add("@" , master. );//</v>
      </c>
      <c r="T42" s="1" t="str">
        <f t="shared" si="18"/>
        <v>{ name: '' , sort: '' },</v>
      </c>
      <c r="U42" s="1" t="str">
        <f t="shared" si="15"/>
        <v>"":"",</v>
      </c>
      <c r="V42" s="1" t="str">
        <f t="shared" si="16"/>
        <v>this.vo. = 0 ; //</v>
      </c>
    </row>
    <row r="43" spans="1:22" x14ac:dyDescent="0.4">
      <c r="A43" s="1" t="s">
        <v>88</v>
      </c>
      <c r="D43" s="1" t="s">
        <v>5</v>
      </c>
      <c r="H43" s="1" t="str">
        <f t="shared" si="17"/>
        <v>string</v>
      </c>
      <c r="I43" s="1" t="str">
        <f t="shared" si="8"/>
        <v xml:space="preserve">///&lt;summary&gt;
///
///&lt;/summary&gt;
public string  {get; set;}
</v>
      </c>
      <c r="J43" s="1" t="str">
        <f t="shared" si="2"/>
        <v xml:space="preserve"> AND t1. = @</v>
      </c>
      <c r="K43" s="1" t="str">
        <f t="shared" si="3"/>
        <v>t1.        AS ,</v>
      </c>
      <c r="L43" s="1" t="str">
        <f t="shared" si="4"/>
        <v>,</v>
      </c>
      <c r="M43" s="1" t="str">
        <f t="shared" si="5"/>
        <v>,@</v>
      </c>
      <c r="N43" s="1" t="str">
        <f t="shared" si="6"/>
        <v xml:space="preserve"> = @, </v>
      </c>
      <c r="O43" s="1" t="str">
        <f t="shared" si="9"/>
        <v>error += ExcelUtil.CheckValue(excelVo. , "", false, (null, null, ), (true, false, false), (false, false));</v>
      </c>
      <c r="P43" s="1" t="str">
        <f t="shared" si="10"/>
        <v>excelVo. = StringUtil.IsNotEmpty(ExcelUtil.GetCell(sheet, i, j).ToString().TrimEnd())? ExcelUtil.GetCell(sheet, i, j).ToString().TrimEnd().ToUpper():"";j++;//</v>
      </c>
      <c r="Q43" s="1" t="str">
        <f t="shared" si="11"/>
        <v>ExcelUtil.SetContent(sheet, row, column++, (string)item[""]);</v>
      </c>
      <c r="R43" s="1" t="str">
        <f t="shared" si="12"/>
        <v>paramDt.Add("@" ,  );//VARCHAR</v>
      </c>
      <c r="S43" s="1" t="str">
        <f t="shared" si="13"/>
        <v>paramDt.Add("@" , master. );//</v>
      </c>
      <c r="T43" s="1" t="str">
        <f t="shared" si="18"/>
        <v>{ name: '' , sort: '' },</v>
      </c>
      <c r="U43" s="1" t="str">
        <f t="shared" si="15"/>
        <v>"":"",</v>
      </c>
      <c r="V43" s="1" t="str">
        <f t="shared" si="16"/>
        <v>this.vo. = '' ; //</v>
      </c>
    </row>
    <row r="44" spans="1:22" x14ac:dyDescent="0.4">
      <c r="A44" s="1" t="s">
        <v>88</v>
      </c>
      <c r="D44" s="1" t="s">
        <v>5</v>
      </c>
      <c r="H44" s="1" t="str">
        <f t="shared" si="17"/>
        <v>string</v>
      </c>
      <c r="I44" s="1" t="str">
        <f t="shared" si="8"/>
        <v xml:space="preserve">///&lt;summary&gt;
///
///&lt;/summary&gt;
public string  {get; set;}
</v>
      </c>
      <c r="J44" s="1" t="str">
        <f t="shared" si="2"/>
        <v xml:space="preserve"> AND t1. = @</v>
      </c>
      <c r="K44" s="1" t="str">
        <f t="shared" si="3"/>
        <v>t1.        AS ,</v>
      </c>
      <c r="L44" s="1" t="str">
        <f t="shared" si="4"/>
        <v>,</v>
      </c>
      <c r="M44" s="1" t="str">
        <f t="shared" si="5"/>
        <v>,@</v>
      </c>
      <c r="N44" s="1" t="str">
        <f t="shared" si="6"/>
        <v xml:space="preserve"> = @, </v>
      </c>
      <c r="O44" s="1" t="str">
        <f t="shared" si="9"/>
        <v>error += ExcelUtil.CheckValue(excelVo. , "", false, (null, null, ), (true, false, false), (false, false));</v>
      </c>
      <c r="P44" s="1" t="str">
        <f t="shared" si="10"/>
        <v>excelVo. = StringUtil.IsNotEmpty(ExcelUtil.GetCell(sheet, i, j).ToString().TrimEnd())? ExcelUtil.GetCell(sheet, i, j).ToString().TrimEnd().ToUpper():"";j++;//</v>
      </c>
      <c r="Q44" s="1" t="str">
        <f t="shared" si="11"/>
        <v>ExcelUtil.SetContent(sheet, row, column++, (string)item[""]);</v>
      </c>
      <c r="R44" s="1" t="str">
        <f t="shared" si="12"/>
        <v>paramDt.Add("@" ,  );//VARCHAR</v>
      </c>
      <c r="S44" s="1" t="str">
        <f t="shared" si="13"/>
        <v>paramDt.Add("@" , master. );//</v>
      </c>
      <c r="T44" s="1" t="str">
        <f t="shared" si="18"/>
        <v>{ name: '' , sort: '' },</v>
      </c>
      <c r="U44" s="1" t="str">
        <f t="shared" si="15"/>
        <v>"":"",</v>
      </c>
      <c r="V44" s="1" t="str">
        <f t="shared" si="16"/>
        <v>this.vo. = '' ; //</v>
      </c>
    </row>
    <row r="45" spans="1:22" x14ac:dyDescent="0.4">
      <c r="A45" s="1" t="s">
        <v>88</v>
      </c>
      <c r="D45" s="1" t="s">
        <v>5</v>
      </c>
      <c r="H45" s="1" t="str">
        <f t="shared" si="17"/>
        <v>string</v>
      </c>
      <c r="I45" s="1" t="str">
        <f t="shared" si="8"/>
        <v xml:space="preserve">///&lt;summary&gt;
///
///&lt;/summary&gt;
public string  {get; set;}
</v>
      </c>
      <c r="J45" s="1" t="str">
        <f t="shared" si="2"/>
        <v xml:space="preserve"> AND t1. = @</v>
      </c>
      <c r="K45" s="1" t="str">
        <f t="shared" si="3"/>
        <v>t1.        AS ,</v>
      </c>
      <c r="L45" s="1" t="str">
        <f t="shared" si="4"/>
        <v>,</v>
      </c>
      <c r="M45" s="1" t="str">
        <f t="shared" si="5"/>
        <v>,@</v>
      </c>
      <c r="N45" s="1" t="str">
        <f t="shared" si="6"/>
        <v xml:space="preserve"> = @, </v>
      </c>
      <c r="O45" s="1" t="str">
        <f t="shared" si="9"/>
        <v>error += ExcelUtil.CheckValue(excelVo. , "", false, (null, null, ), (true, false, false), (false, false));</v>
      </c>
      <c r="P45" s="1" t="str">
        <f t="shared" si="10"/>
        <v>excelVo. = StringUtil.IsNotEmpty(ExcelUtil.GetCell(sheet, i, j).ToString().TrimEnd())? ExcelUtil.GetCell(sheet, i, j).ToString().TrimEnd().ToUpper():"";j++;//</v>
      </c>
      <c r="Q45" s="1" t="str">
        <f t="shared" si="11"/>
        <v>ExcelUtil.SetContent(sheet, row, column++, (string)item[""]);</v>
      </c>
      <c r="R45" s="1" t="str">
        <f t="shared" si="12"/>
        <v>paramDt.Add("@" ,  );//VARCHAR</v>
      </c>
      <c r="S45" s="1" t="str">
        <f t="shared" si="13"/>
        <v>paramDt.Add("@" , master. );//</v>
      </c>
      <c r="T45" s="1" t="str">
        <f t="shared" si="18"/>
        <v>{ name: '' , sort: '' },</v>
      </c>
      <c r="U45" s="1" t="str">
        <f t="shared" si="15"/>
        <v>"":"",</v>
      </c>
      <c r="V45" s="1" t="str">
        <f t="shared" si="16"/>
        <v>this.vo. = '' ; //</v>
      </c>
    </row>
    <row r="46" spans="1:22" x14ac:dyDescent="0.4">
      <c r="A46" s="1" t="s">
        <v>88</v>
      </c>
      <c r="D46" s="1" t="s">
        <v>5</v>
      </c>
      <c r="H46" s="1" t="str">
        <f t="shared" si="17"/>
        <v>string</v>
      </c>
      <c r="I46" s="1" t="str">
        <f t="shared" si="8"/>
        <v xml:space="preserve">///&lt;summary&gt;
///
///&lt;/summary&gt;
public string  {get; set;}
</v>
      </c>
      <c r="J46" s="1" t="str">
        <f t="shared" si="2"/>
        <v xml:space="preserve"> AND t1. = @</v>
      </c>
      <c r="K46" s="1" t="str">
        <f t="shared" si="3"/>
        <v>t1.        AS ,</v>
      </c>
      <c r="L46" s="1" t="str">
        <f t="shared" si="4"/>
        <v>,</v>
      </c>
      <c r="M46" s="1" t="str">
        <f t="shared" si="5"/>
        <v>,@</v>
      </c>
      <c r="N46" s="1" t="str">
        <f t="shared" si="6"/>
        <v xml:space="preserve"> = @, </v>
      </c>
      <c r="O46" s="1" t="str">
        <f t="shared" si="9"/>
        <v>error += ExcelUtil.CheckValue(excelVo. , "", false, (null, null, ), (true, false, false), (false, false));</v>
      </c>
      <c r="P46" s="1" t="str">
        <f t="shared" si="10"/>
        <v>excelVo. = StringUtil.IsNotEmpty(ExcelUtil.GetCell(sheet, i, j).ToString().TrimEnd())? ExcelUtil.GetCell(sheet, i, j).ToString().TrimEnd().ToUpper():"";j++;//</v>
      </c>
      <c r="Q46" s="1" t="str">
        <f t="shared" si="11"/>
        <v>ExcelUtil.SetContent(sheet, row, column++, (string)item[""]);</v>
      </c>
      <c r="R46" s="1" t="str">
        <f t="shared" si="12"/>
        <v>paramDt.Add("@" ,  );//VARCHAR</v>
      </c>
      <c r="S46" s="1" t="str">
        <f t="shared" si="13"/>
        <v>paramDt.Add("@" , master. );//</v>
      </c>
      <c r="T46" s="1" t="str">
        <f t="shared" si="18"/>
        <v>{ name: '' , sort: '' },</v>
      </c>
      <c r="U46" s="1" t="str">
        <f t="shared" si="15"/>
        <v>"":"",</v>
      </c>
      <c r="V46" s="1" t="str">
        <f t="shared" si="16"/>
        <v>this.vo. = '' ; //</v>
      </c>
    </row>
    <row r="47" spans="1:22" x14ac:dyDescent="0.4">
      <c r="A47" s="1" t="s">
        <v>88</v>
      </c>
      <c r="D47" s="1" t="s">
        <v>6</v>
      </c>
      <c r="H47" s="1" t="str">
        <f t="shared" si="17"/>
        <v>decimal?</v>
      </c>
      <c r="I47" s="1" t="str">
        <f t="shared" si="8"/>
        <v xml:space="preserve">///&lt;summary&gt;
///
///&lt;/summary&gt;
public decimal?  {get; set;}
</v>
      </c>
      <c r="J47" s="1" t="str">
        <f t="shared" si="2"/>
        <v xml:space="preserve"> AND t1. = @</v>
      </c>
      <c r="K47" s="1" t="str">
        <f t="shared" si="3"/>
        <v>t1.        AS ,</v>
      </c>
      <c r="L47" s="1" t="str">
        <f t="shared" si="4"/>
        <v>,</v>
      </c>
      <c r="M47" s="1" t="str">
        <f t="shared" si="5"/>
        <v>,@</v>
      </c>
      <c r="N47" s="1" t="str">
        <f t="shared" si="6"/>
        <v xml:space="preserve"> = @, </v>
      </c>
      <c r="O47" s="1" t="str">
        <f t="shared" si="9"/>
        <v>error += ExcelUtil.CheckValue(excelVo..ToString()  , "", false, (null, null, ), (false, false, true), (false, false));</v>
      </c>
      <c r="P47" s="1" t="str">
        <f t="shared" si="10"/>
        <v>excelVo. = StringUtil.IsNotEmpty(ExcelUtil.GetCell(sheet, i, j).ToString().TrimEnd())? ExcelUtil.GetCell(sheet, i, j).ToString().TrimEnd().ToUpper():"";j++;//</v>
      </c>
      <c r="Q47" s="1" t="str">
        <f t="shared" si="11"/>
        <v>ExcelUtil.SetContent(sheet, row, column++, (string)item[""]);</v>
      </c>
      <c r="R47" s="1" t="str">
        <f t="shared" si="12"/>
        <v>paramDt.Add("@" ,  );//DECIMAL</v>
      </c>
      <c r="S47" s="1" t="str">
        <f t="shared" si="13"/>
        <v>paramDt.Add("@" , master. );//</v>
      </c>
      <c r="T47" s="1" t="str">
        <f t="shared" si="18"/>
        <v>{ name: '' , sort: '' },</v>
      </c>
      <c r="U47" s="1" t="str">
        <f t="shared" si="15"/>
        <v>"":"",</v>
      </c>
      <c r="V47" s="1" t="str">
        <f t="shared" si="16"/>
        <v>this.vo. = 0 ; //</v>
      </c>
    </row>
    <row r="48" spans="1:22" x14ac:dyDescent="0.4">
      <c r="A48" s="1" t="s">
        <v>88</v>
      </c>
      <c r="D48" s="1" t="s">
        <v>6</v>
      </c>
      <c r="H48" s="1" t="str">
        <f t="shared" si="17"/>
        <v>decimal?</v>
      </c>
      <c r="I48" s="1" t="str">
        <f t="shared" si="8"/>
        <v xml:space="preserve">///&lt;summary&gt;
///
///&lt;/summary&gt;
public decimal?  {get; set;}
</v>
      </c>
      <c r="J48" s="1" t="str">
        <f t="shared" si="2"/>
        <v xml:space="preserve"> AND t1. = @</v>
      </c>
      <c r="K48" s="1" t="str">
        <f t="shared" si="3"/>
        <v>t1.        AS ,</v>
      </c>
      <c r="L48" s="1" t="str">
        <f t="shared" si="4"/>
        <v>,</v>
      </c>
      <c r="M48" s="1" t="str">
        <f t="shared" si="5"/>
        <v>,@</v>
      </c>
      <c r="N48" s="1" t="str">
        <f t="shared" si="6"/>
        <v xml:space="preserve"> = @, </v>
      </c>
      <c r="O48" s="1" t="str">
        <f t="shared" si="9"/>
        <v>error += ExcelUtil.CheckValue(excelVo..ToString()  , "", false, (null, null, ), (false, false, true), (false, false));</v>
      </c>
      <c r="P48" s="1" t="str">
        <f t="shared" si="10"/>
        <v>excelVo. = StringUtil.IsNotEmpty(ExcelUtil.GetCell(sheet, i, j).ToString().TrimEnd())? ExcelUtil.GetCell(sheet, i, j).ToString().TrimEnd().ToUpper():"";j++;//</v>
      </c>
      <c r="Q48" s="1" t="str">
        <f t="shared" si="11"/>
        <v>ExcelUtil.SetContent(sheet, row, column++, (string)item[""]);</v>
      </c>
      <c r="R48" s="1" t="str">
        <f t="shared" si="12"/>
        <v>paramDt.Add("@" ,  );//DECIMAL</v>
      </c>
      <c r="S48" s="1" t="str">
        <f t="shared" si="13"/>
        <v>paramDt.Add("@" , master. );//</v>
      </c>
      <c r="T48" s="1" t="str">
        <f t="shared" si="18"/>
        <v>{ name: '' , sort: '' },</v>
      </c>
      <c r="U48" s="1" t="str">
        <f t="shared" si="15"/>
        <v>"":"",</v>
      </c>
      <c r="V48" s="1" t="str">
        <f t="shared" si="16"/>
        <v>this.vo. = 0 ; //</v>
      </c>
    </row>
    <row r="49" spans="1:22" x14ac:dyDescent="0.4">
      <c r="A49" s="1" t="s">
        <v>88</v>
      </c>
      <c r="D49" s="1" t="s">
        <v>6</v>
      </c>
      <c r="H49" s="1" t="str">
        <f t="shared" si="17"/>
        <v>decimal?</v>
      </c>
      <c r="I49" s="1" t="str">
        <f t="shared" si="8"/>
        <v xml:space="preserve">///&lt;summary&gt;
///
///&lt;/summary&gt;
public decimal?  {get; set;}
</v>
      </c>
      <c r="J49" s="1" t="str">
        <f t="shared" si="2"/>
        <v xml:space="preserve"> AND t1. = @</v>
      </c>
      <c r="K49" s="1" t="str">
        <f t="shared" si="3"/>
        <v>t1.        AS ,</v>
      </c>
      <c r="L49" s="1" t="str">
        <f t="shared" si="4"/>
        <v>,</v>
      </c>
      <c r="M49" s="1" t="str">
        <f t="shared" si="5"/>
        <v>,@</v>
      </c>
      <c r="N49" s="1" t="str">
        <f t="shared" si="6"/>
        <v xml:space="preserve"> = @, </v>
      </c>
      <c r="O49" s="1" t="str">
        <f t="shared" si="9"/>
        <v>error += ExcelUtil.CheckValue(excelVo..ToString()  , "", false, (null, null, ), (false, false, true), (false, false));</v>
      </c>
      <c r="P49" s="1" t="str">
        <f t="shared" si="10"/>
        <v>excelVo. = StringUtil.IsNotEmpty(ExcelUtil.GetCell(sheet, i, j).ToString().TrimEnd())? ExcelUtil.GetCell(sheet, i, j).ToString().TrimEnd().ToUpper():"";j++;//</v>
      </c>
      <c r="Q49" s="1" t="str">
        <f t="shared" si="11"/>
        <v>ExcelUtil.SetContent(sheet, row, column++, (string)item[""]);</v>
      </c>
      <c r="R49" s="1" t="str">
        <f t="shared" si="12"/>
        <v>paramDt.Add("@" ,  );//DECIMAL</v>
      </c>
      <c r="S49" s="1" t="str">
        <f t="shared" si="13"/>
        <v>paramDt.Add("@" , master. );//</v>
      </c>
      <c r="T49" s="1" t="str">
        <f t="shared" si="18"/>
        <v>{ name: '' , sort: '' },</v>
      </c>
      <c r="U49" s="1" t="str">
        <f t="shared" si="15"/>
        <v>"":"",</v>
      </c>
      <c r="V49" s="1" t="str">
        <f t="shared" si="16"/>
        <v>this.vo. = 0 ; //</v>
      </c>
    </row>
    <row r="50" spans="1:22" x14ac:dyDescent="0.4">
      <c r="A50" s="1" t="s">
        <v>88</v>
      </c>
      <c r="D50" s="1" t="s">
        <v>6</v>
      </c>
      <c r="H50" s="1" t="str">
        <f t="shared" si="17"/>
        <v>decimal?</v>
      </c>
      <c r="I50" s="1" t="str">
        <f t="shared" si="8"/>
        <v xml:space="preserve">///&lt;summary&gt;
///
///&lt;/summary&gt;
public decimal?  {get; set;}
</v>
      </c>
      <c r="J50" s="1" t="str">
        <f t="shared" si="2"/>
        <v xml:space="preserve"> AND t1. = @</v>
      </c>
      <c r="K50" s="1" t="str">
        <f t="shared" si="3"/>
        <v>t1.        AS ,</v>
      </c>
      <c r="L50" s="1" t="str">
        <f t="shared" si="4"/>
        <v>,</v>
      </c>
      <c r="M50" s="1" t="str">
        <f t="shared" si="5"/>
        <v>,@</v>
      </c>
      <c r="N50" s="1" t="str">
        <f t="shared" si="6"/>
        <v xml:space="preserve"> = @, </v>
      </c>
      <c r="O50" s="1" t="str">
        <f t="shared" si="9"/>
        <v>error += ExcelUtil.CheckValue(excelVo..ToString()  , "", false, (null, null, ), (false, false, true), (false, false));</v>
      </c>
      <c r="P50" s="1" t="str">
        <f t="shared" si="10"/>
        <v>excelVo. = StringUtil.IsNotEmpty(ExcelUtil.GetCell(sheet, i, j).ToString().TrimEnd())? ExcelUtil.GetCell(sheet, i, j).ToString().TrimEnd().ToUpper():"";j++;//</v>
      </c>
      <c r="Q50" s="1" t="str">
        <f t="shared" si="11"/>
        <v>ExcelUtil.SetContent(sheet, row, column++, (string)item[""]);</v>
      </c>
      <c r="R50" s="1" t="str">
        <f t="shared" si="12"/>
        <v>paramDt.Add("@" ,  );//DECIMAL</v>
      </c>
      <c r="S50" s="1" t="str">
        <f t="shared" si="13"/>
        <v>paramDt.Add("@" , master. );//</v>
      </c>
      <c r="T50" s="1" t="str">
        <f t="shared" si="18"/>
        <v>{ name: '' , sort: '' },</v>
      </c>
      <c r="U50" s="1" t="str">
        <f t="shared" si="15"/>
        <v>"":"",</v>
      </c>
      <c r="V50" s="1" t="str">
        <f t="shared" si="16"/>
        <v>this.vo. = 0 ; //</v>
      </c>
    </row>
    <row r="51" spans="1:22" x14ac:dyDescent="0.4">
      <c r="A51" s="1" t="s">
        <v>88</v>
      </c>
      <c r="D51" s="1" t="s">
        <v>6</v>
      </c>
      <c r="H51" s="1" t="str">
        <f t="shared" si="17"/>
        <v>decimal?</v>
      </c>
      <c r="I51" s="1" t="str">
        <f t="shared" si="8"/>
        <v xml:space="preserve">///&lt;summary&gt;
///
///&lt;/summary&gt;
public decimal?  {get; set;}
</v>
      </c>
      <c r="J51" s="1" t="str">
        <f t="shared" si="2"/>
        <v xml:space="preserve"> AND t1. = @</v>
      </c>
      <c r="K51" s="1" t="str">
        <f t="shared" si="3"/>
        <v>t1.        AS ,</v>
      </c>
      <c r="L51" s="1" t="str">
        <f t="shared" si="4"/>
        <v>,</v>
      </c>
      <c r="M51" s="1" t="str">
        <f t="shared" si="5"/>
        <v>,@</v>
      </c>
      <c r="N51" s="1" t="str">
        <f t="shared" si="6"/>
        <v xml:space="preserve"> = @, </v>
      </c>
      <c r="O51" s="1" t="str">
        <f t="shared" si="9"/>
        <v>error += ExcelUtil.CheckValue(excelVo..ToString()  , "", false, (null, null, ), (false, false, true), (false, false));</v>
      </c>
      <c r="P51" s="1" t="str">
        <f t="shared" si="10"/>
        <v>excelVo. = StringUtil.IsNotEmpty(ExcelUtil.GetCell(sheet, i, j).ToString().TrimEnd())? ExcelUtil.GetCell(sheet, i, j).ToString().TrimEnd().ToUpper():"";j++;//</v>
      </c>
      <c r="Q51" s="1" t="str">
        <f t="shared" si="11"/>
        <v>ExcelUtil.SetContent(sheet, row, column++, (string)item[""]);</v>
      </c>
      <c r="R51" s="1" t="str">
        <f t="shared" si="12"/>
        <v>paramDt.Add("@" ,  );//DECIMAL</v>
      </c>
      <c r="S51" s="1" t="str">
        <f t="shared" si="13"/>
        <v>paramDt.Add("@" , master. );//</v>
      </c>
      <c r="T51" s="1" t="str">
        <f t="shared" si="18"/>
        <v>{ name: '' , sort: '' },</v>
      </c>
      <c r="U51" s="1" t="str">
        <f t="shared" si="15"/>
        <v>"":"",</v>
      </c>
      <c r="V51" s="1" t="str">
        <f t="shared" si="16"/>
        <v>this.vo. = 0 ; //</v>
      </c>
    </row>
    <row r="52" spans="1:22" x14ac:dyDescent="0.4">
      <c r="A52" s="1" t="s">
        <v>88</v>
      </c>
      <c r="D52" s="1" t="s">
        <v>6</v>
      </c>
      <c r="H52" s="1" t="str">
        <f t="shared" si="17"/>
        <v>decimal?</v>
      </c>
      <c r="I52" s="1" t="str">
        <f t="shared" si="8"/>
        <v xml:space="preserve">///&lt;summary&gt;
///
///&lt;/summary&gt;
public decimal?  {get; set;}
</v>
      </c>
      <c r="J52" s="1" t="str">
        <f t="shared" si="2"/>
        <v xml:space="preserve"> AND t1. = @</v>
      </c>
      <c r="K52" s="1" t="str">
        <f t="shared" si="3"/>
        <v>t1.        AS ,</v>
      </c>
      <c r="L52" s="1" t="str">
        <f t="shared" si="4"/>
        <v>,</v>
      </c>
      <c r="M52" s="1" t="str">
        <f t="shared" si="5"/>
        <v>,@</v>
      </c>
      <c r="N52" s="1" t="str">
        <f t="shared" si="6"/>
        <v xml:space="preserve"> = @, </v>
      </c>
      <c r="O52" s="1" t="str">
        <f t="shared" si="9"/>
        <v>error += ExcelUtil.CheckValue(excelVo..ToString()  , "", false, (null, null, ), (false, false, true), (false, false));</v>
      </c>
      <c r="P52" s="1" t="str">
        <f t="shared" si="10"/>
        <v>excelVo. = StringUtil.IsNotEmpty(ExcelUtil.GetCell(sheet, i, j).ToString().TrimEnd())? ExcelUtil.GetCell(sheet, i, j).ToString().TrimEnd().ToUpper():"";j++;//</v>
      </c>
      <c r="Q52" s="1" t="str">
        <f t="shared" si="11"/>
        <v>ExcelUtil.SetContent(sheet, row, column++, (string)item[""]);</v>
      </c>
      <c r="R52" s="1" t="str">
        <f t="shared" si="12"/>
        <v>paramDt.Add("@" ,  );//DECIMAL</v>
      </c>
      <c r="S52" s="1" t="str">
        <f t="shared" si="13"/>
        <v>paramDt.Add("@" , master. );//</v>
      </c>
      <c r="T52" s="1" t="str">
        <f t="shared" si="18"/>
        <v>{ name: '' , sort: '' },</v>
      </c>
      <c r="U52" s="1" t="str">
        <f t="shared" si="15"/>
        <v>"":"",</v>
      </c>
      <c r="V52" s="1" t="str">
        <f t="shared" si="16"/>
        <v>this.vo. = 0 ; //</v>
      </c>
    </row>
    <row r="53" spans="1:22" x14ac:dyDescent="0.4">
      <c r="A53" s="1" t="s">
        <v>88</v>
      </c>
      <c r="D53" s="1" t="s">
        <v>6</v>
      </c>
      <c r="H53" s="1" t="str">
        <f t="shared" si="17"/>
        <v>decimal?</v>
      </c>
      <c r="I53" s="1" t="str">
        <f t="shared" si="8"/>
        <v xml:space="preserve">///&lt;summary&gt;
///
///&lt;/summary&gt;
public decimal?  {get; set;}
</v>
      </c>
      <c r="J53" s="1" t="str">
        <f t="shared" si="2"/>
        <v xml:space="preserve"> AND t1. = @</v>
      </c>
      <c r="K53" s="1" t="str">
        <f t="shared" si="3"/>
        <v>t1.        AS ,</v>
      </c>
      <c r="L53" s="1" t="str">
        <f t="shared" si="4"/>
        <v>,</v>
      </c>
      <c r="M53" s="1" t="str">
        <f t="shared" si="5"/>
        <v>,@</v>
      </c>
      <c r="N53" s="1" t="str">
        <f t="shared" si="6"/>
        <v xml:space="preserve"> = @, </v>
      </c>
      <c r="O53" s="1" t="str">
        <f t="shared" si="9"/>
        <v>error += ExcelUtil.CheckValue(excelVo..ToString()  , "", false, (null, null, ), (false, false, true), (false, false));</v>
      </c>
      <c r="P53" s="1" t="str">
        <f t="shared" si="10"/>
        <v>excelVo. = StringUtil.IsNotEmpty(ExcelUtil.GetCell(sheet, i, j).ToString().TrimEnd())? ExcelUtil.GetCell(sheet, i, j).ToString().TrimEnd().ToUpper():"";j++;//</v>
      </c>
      <c r="Q53" s="1" t="str">
        <f t="shared" si="11"/>
        <v>ExcelUtil.SetContent(sheet, row, column++, (string)item[""]);</v>
      </c>
      <c r="R53" s="1" t="str">
        <f t="shared" si="12"/>
        <v>paramDt.Add("@" ,  );//DECIMAL</v>
      </c>
      <c r="S53" s="1" t="str">
        <f t="shared" si="13"/>
        <v>paramDt.Add("@" , master. );//</v>
      </c>
      <c r="T53" s="1" t="str">
        <f t="shared" si="18"/>
        <v>{ name: '' , sort: '' },</v>
      </c>
      <c r="U53" s="1" t="str">
        <f t="shared" si="15"/>
        <v>"":"",</v>
      </c>
      <c r="V53" s="1" t="str">
        <f t="shared" si="16"/>
        <v>this.vo. = 0 ; //</v>
      </c>
    </row>
    <row r="54" spans="1:22" x14ac:dyDescent="0.4">
      <c r="A54" s="1" t="s">
        <v>88</v>
      </c>
      <c r="D54" s="1" t="s">
        <v>6</v>
      </c>
      <c r="H54" s="1" t="str">
        <f t="shared" si="17"/>
        <v>decimal?</v>
      </c>
      <c r="I54" s="1" t="str">
        <f t="shared" si="8"/>
        <v xml:space="preserve">///&lt;summary&gt;
///
///&lt;/summary&gt;
public decimal?  {get; set;}
</v>
      </c>
      <c r="J54" s="1" t="str">
        <f t="shared" si="2"/>
        <v xml:space="preserve"> AND t1. = @</v>
      </c>
      <c r="K54" s="1" t="str">
        <f t="shared" si="3"/>
        <v>t1.        AS ,</v>
      </c>
      <c r="L54" s="1" t="str">
        <f t="shared" si="4"/>
        <v>,</v>
      </c>
      <c r="M54" s="1" t="str">
        <f t="shared" si="5"/>
        <v>,@</v>
      </c>
      <c r="N54" s="1" t="str">
        <f t="shared" si="6"/>
        <v xml:space="preserve"> = @, </v>
      </c>
      <c r="O54" s="1" t="str">
        <f t="shared" si="9"/>
        <v>error += ExcelUtil.CheckValue(excelVo..ToString()  , "", false, (null, null, ), (false, false, true), (false, false));</v>
      </c>
      <c r="P54" s="1" t="str">
        <f t="shared" si="10"/>
        <v>excelVo. = StringUtil.IsNotEmpty(ExcelUtil.GetCell(sheet, i, j).ToString().TrimEnd())? ExcelUtil.GetCell(sheet, i, j).ToString().TrimEnd().ToUpper():"";j++;//</v>
      </c>
      <c r="Q54" s="1" t="str">
        <f t="shared" si="11"/>
        <v>ExcelUtil.SetContent(sheet, row, column++, (string)item[""]);</v>
      </c>
      <c r="R54" s="1" t="str">
        <f t="shared" si="12"/>
        <v>paramDt.Add("@" ,  );//DECIMAL</v>
      </c>
      <c r="S54" s="1" t="str">
        <f t="shared" si="13"/>
        <v>paramDt.Add("@" , master. );//</v>
      </c>
      <c r="T54" s="1" t="str">
        <f t="shared" si="18"/>
        <v>{ name: '' , sort: '' },</v>
      </c>
      <c r="U54" s="1" t="str">
        <f t="shared" si="15"/>
        <v>"":"",</v>
      </c>
      <c r="V54" s="1" t="str">
        <f t="shared" si="16"/>
        <v>this.vo. = 0 ; //</v>
      </c>
    </row>
    <row r="55" spans="1:22" x14ac:dyDescent="0.4">
      <c r="A55" s="1" t="s">
        <v>88</v>
      </c>
      <c r="D55" s="1" t="s">
        <v>6</v>
      </c>
      <c r="H55" s="1" t="str">
        <f t="shared" si="17"/>
        <v>decimal?</v>
      </c>
      <c r="I55" s="1" t="str">
        <f t="shared" si="8"/>
        <v xml:space="preserve">///&lt;summary&gt;
///
///&lt;/summary&gt;
public decimal?  {get; set;}
</v>
      </c>
      <c r="J55" s="1" t="str">
        <f t="shared" si="2"/>
        <v xml:space="preserve"> AND t1. = @</v>
      </c>
      <c r="K55" s="1" t="str">
        <f t="shared" si="3"/>
        <v>t1.        AS ,</v>
      </c>
      <c r="L55" s="1" t="str">
        <f t="shared" si="4"/>
        <v>,</v>
      </c>
      <c r="M55" s="1" t="str">
        <f t="shared" si="5"/>
        <v>,@</v>
      </c>
      <c r="N55" s="1" t="str">
        <f t="shared" si="6"/>
        <v xml:space="preserve"> = @, </v>
      </c>
      <c r="O55" s="1" t="str">
        <f t="shared" si="9"/>
        <v>error += ExcelUtil.CheckValue(excelVo..ToString()  , "", false, (null, null, ), (false, false, true), (false, false));</v>
      </c>
      <c r="P55" s="1" t="str">
        <f t="shared" si="10"/>
        <v>excelVo. = StringUtil.IsNotEmpty(ExcelUtil.GetCell(sheet, i, j).ToString().TrimEnd())? ExcelUtil.GetCell(sheet, i, j).ToString().TrimEnd().ToUpper():"";j++;//</v>
      </c>
      <c r="Q55" s="1" t="str">
        <f t="shared" si="11"/>
        <v>ExcelUtil.SetContent(sheet, row, column++, (string)item[""]);</v>
      </c>
      <c r="R55" s="1" t="str">
        <f t="shared" si="12"/>
        <v>paramDt.Add("@" ,  );//DECIMAL</v>
      </c>
      <c r="S55" s="1" t="str">
        <f t="shared" si="13"/>
        <v>paramDt.Add("@" , master. );//</v>
      </c>
      <c r="T55" s="1" t="str">
        <f t="shared" si="18"/>
        <v>{ name: '' , sort: '' },</v>
      </c>
      <c r="U55" s="1" t="str">
        <f t="shared" si="15"/>
        <v>"":"",</v>
      </c>
      <c r="V55" s="1" t="str">
        <f t="shared" si="16"/>
        <v>this.vo. = 0 ; //</v>
      </c>
    </row>
    <row r="56" spans="1:22" x14ac:dyDescent="0.4">
      <c r="A56" s="1" t="s">
        <v>88</v>
      </c>
      <c r="D56" s="1" t="s">
        <v>6</v>
      </c>
      <c r="H56" s="1" t="str">
        <f t="shared" si="17"/>
        <v>decimal?</v>
      </c>
      <c r="I56" s="1" t="str">
        <f t="shared" si="8"/>
        <v xml:space="preserve">///&lt;summary&gt;
///
///&lt;/summary&gt;
public decimal?  {get; set;}
</v>
      </c>
      <c r="J56" s="1" t="str">
        <f t="shared" si="2"/>
        <v xml:space="preserve"> AND t1. = @</v>
      </c>
      <c r="K56" s="1" t="str">
        <f t="shared" si="3"/>
        <v>t1.        AS ,</v>
      </c>
      <c r="L56" s="1" t="str">
        <f t="shared" si="4"/>
        <v>,</v>
      </c>
      <c r="M56" s="1" t="str">
        <f t="shared" si="5"/>
        <v>,@</v>
      </c>
      <c r="N56" s="1" t="str">
        <f t="shared" si="6"/>
        <v xml:space="preserve"> = @, </v>
      </c>
      <c r="O56" s="1" t="str">
        <f t="shared" si="9"/>
        <v>error += ExcelUtil.CheckValue(excelVo..ToString()  , "", false, (null, null, ), (false, false, true), (false, false));</v>
      </c>
      <c r="P56" s="1" t="str">
        <f t="shared" si="10"/>
        <v>excelVo. = StringUtil.IsNotEmpty(ExcelUtil.GetCell(sheet, i, j).ToString().TrimEnd())? ExcelUtil.GetCell(sheet, i, j).ToString().TrimEnd().ToUpper():"";j++;//</v>
      </c>
      <c r="Q56" s="1" t="str">
        <f t="shared" si="11"/>
        <v>ExcelUtil.SetContent(sheet, row, column++, (string)item[""]);</v>
      </c>
      <c r="R56" s="1" t="str">
        <f t="shared" si="12"/>
        <v>paramDt.Add("@" ,  );//DECIMAL</v>
      </c>
      <c r="S56" s="1" t="str">
        <f t="shared" si="13"/>
        <v>paramDt.Add("@" , master. );//</v>
      </c>
      <c r="T56" s="1" t="str">
        <f t="shared" si="18"/>
        <v>{ name: '' , sort: '' },</v>
      </c>
      <c r="U56" s="1" t="str">
        <f t="shared" si="15"/>
        <v>"":"",</v>
      </c>
      <c r="V56" s="1" t="str">
        <f t="shared" si="16"/>
        <v>this.vo. = 0 ; //</v>
      </c>
    </row>
    <row r="57" spans="1:22" x14ac:dyDescent="0.4">
      <c r="A57" s="1" t="s">
        <v>88</v>
      </c>
      <c r="D57" s="1" t="s">
        <v>6</v>
      </c>
      <c r="H57" s="1" t="str">
        <f t="shared" si="17"/>
        <v>decimal?</v>
      </c>
      <c r="I57" s="1" t="str">
        <f t="shared" si="8"/>
        <v xml:space="preserve">///&lt;summary&gt;
///
///&lt;/summary&gt;
public decimal?  {get; set;}
</v>
      </c>
      <c r="J57" s="1" t="str">
        <f t="shared" si="2"/>
        <v xml:space="preserve"> AND t1. = @</v>
      </c>
      <c r="K57" s="1" t="str">
        <f t="shared" si="3"/>
        <v>t1.        AS ,</v>
      </c>
      <c r="L57" s="1" t="str">
        <f t="shared" si="4"/>
        <v>,</v>
      </c>
      <c r="M57" s="1" t="str">
        <f t="shared" si="5"/>
        <v>,@</v>
      </c>
      <c r="N57" s="1" t="str">
        <f t="shared" si="6"/>
        <v xml:space="preserve"> = @, </v>
      </c>
      <c r="O57" s="1" t="str">
        <f t="shared" si="9"/>
        <v>error += ExcelUtil.CheckValue(excelVo..ToString()  , "", false, (null, null, ), (false, false, true), (false, false));</v>
      </c>
      <c r="P57" s="1" t="str">
        <f t="shared" si="10"/>
        <v>excelVo. = StringUtil.IsNotEmpty(ExcelUtil.GetCell(sheet, i, j).ToString().TrimEnd())? ExcelUtil.GetCell(sheet, i, j).ToString().TrimEnd().ToUpper():"";j++;//</v>
      </c>
      <c r="Q57" s="1" t="str">
        <f t="shared" si="11"/>
        <v>ExcelUtil.SetContent(sheet, row, column++, (string)item[""]);</v>
      </c>
      <c r="R57" s="1" t="str">
        <f t="shared" si="12"/>
        <v>paramDt.Add("@" ,  );//DECIMAL</v>
      </c>
      <c r="S57" s="1" t="str">
        <f t="shared" si="13"/>
        <v>paramDt.Add("@" , master. );//</v>
      </c>
      <c r="T57" s="1" t="str">
        <f t="shared" si="18"/>
        <v>{ name: '' , sort: '' },</v>
      </c>
      <c r="U57" s="1" t="str">
        <f t="shared" si="15"/>
        <v>"":"",</v>
      </c>
      <c r="V57" s="1" t="str">
        <f t="shared" si="16"/>
        <v>this.vo. = 0 ; //</v>
      </c>
    </row>
    <row r="58" spans="1:22" x14ac:dyDescent="0.4">
      <c r="A58" s="1" t="s">
        <v>88</v>
      </c>
      <c r="D58" s="1" t="s">
        <v>6</v>
      </c>
      <c r="H58" s="1" t="str">
        <f t="shared" si="17"/>
        <v>decimal?</v>
      </c>
      <c r="I58" s="1" t="str">
        <f t="shared" si="8"/>
        <v xml:space="preserve">///&lt;summary&gt;
///
///&lt;/summary&gt;
public decimal?  {get; set;}
</v>
      </c>
      <c r="J58" s="1" t="str">
        <f t="shared" si="2"/>
        <v xml:space="preserve"> AND t1. = @</v>
      </c>
      <c r="K58" s="1" t="str">
        <f t="shared" si="3"/>
        <v>t1.        AS ,</v>
      </c>
      <c r="L58" s="1" t="str">
        <f t="shared" si="4"/>
        <v>,</v>
      </c>
      <c r="M58" s="1" t="str">
        <f t="shared" si="5"/>
        <v>,@</v>
      </c>
      <c r="N58" s="1" t="str">
        <f t="shared" si="6"/>
        <v xml:space="preserve"> = @, </v>
      </c>
      <c r="O58" s="1" t="str">
        <f t="shared" si="9"/>
        <v>error += ExcelUtil.CheckValue(excelVo..ToString()  , "", false, (null, null, ), (false, false, true), (false, false));</v>
      </c>
      <c r="P58" s="1" t="str">
        <f t="shared" si="10"/>
        <v>excelVo. = StringUtil.IsNotEmpty(ExcelUtil.GetCell(sheet, i, j).ToString().TrimEnd())? ExcelUtil.GetCell(sheet, i, j).ToString().TrimEnd().ToUpper():"";j++;//</v>
      </c>
      <c r="Q58" s="1" t="str">
        <f t="shared" si="11"/>
        <v>ExcelUtil.SetContent(sheet, row, column++, (string)item[""]);</v>
      </c>
      <c r="R58" s="1" t="str">
        <f t="shared" si="12"/>
        <v>paramDt.Add("@" ,  );//DECIMAL</v>
      </c>
      <c r="S58" s="1" t="str">
        <f t="shared" si="13"/>
        <v>paramDt.Add("@" , master. );//</v>
      </c>
      <c r="T58" s="1" t="str">
        <f t="shared" si="18"/>
        <v>{ name: '' , sort: '' },</v>
      </c>
      <c r="U58" s="1" t="str">
        <f t="shared" si="15"/>
        <v>"":"",</v>
      </c>
      <c r="V58" s="1" t="str">
        <f t="shared" si="16"/>
        <v>this.vo. = 0 ; //</v>
      </c>
    </row>
    <row r="59" spans="1:22" x14ac:dyDescent="0.4">
      <c r="A59" s="1" t="s">
        <v>88</v>
      </c>
      <c r="D59" s="1" t="s">
        <v>6</v>
      </c>
      <c r="I59" s="1" t="str">
        <f t="shared" ref="I59:I88" si="19">"///&lt;summary&gt;"&amp;CHAR(10)&amp;"///"&amp;TRIM(C59)&amp;CHAR(10)&amp;"///&lt;/summary&gt;"&amp;CHAR(10)&amp;"public "&amp;H59&amp;" " &amp;TRIM(C59)&amp;" {get; set;}"&amp;CHAR(10)</f>
        <v xml:space="preserve">///&lt;summary&gt;
///
///&lt;/summary&gt;
public   {get; set;}
</v>
      </c>
      <c r="J59" s="1" t="str">
        <f t="shared" si="2"/>
        <v xml:space="preserve"> AND t1. = @</v>
      </c>
      <c r="K59" s="1" t="str">
        <f t="shared" si="3"/>
        <v>t1.        AS ,</v>
      </c>
      <c r="L59" s="1" t="str">
        <f t="shared" si="4"/>
        <v>,</v>
      </c>
      <c r="M59" s="1" t="str">
        <f t="shared" si="5"/>
        <v>,@</v>
      </c>
      <c r="N59" s="1" t="str">
        <f t="shared" si="6"/>
        <v xml:space="preserve"> = @, </v>
      </c>
      <c r="O59" s="1" t="str">
        <f t="shared" si="9"/>
        <v>error += ExcelUtil.CheckValue(excelVo..ToString()  , "", false, (null, null, ), (false, false, true), (false, false));</v>
      </c>
      <c r="P59" s="1" t="str">
        <f t="shared" si="10"/>
        <v>excelVo. = StringUtil.IsNotEmpty(ExcelUtil.GetCell(sheet, i, j).ToString().TrimEnd())? ExcelUtil.GetCell(sheet, i, j).ToString().TrimEnd().ToUpper():"";j++;//</v>
      </c>
      <c r="Q59" s="1" t="str">
        <f t="shared" si="11"/>
        <v>ExcelUtil.SetContent(sheet, row, column++, (string)item[""]);</v>
      </c>
      <c r="R59" s="1" t="str">
        <f t="shared" si="12"/>
        <v>paramDt.Add("@" ,  );//DECIMAL</v>
      </c>
      <c r="S59" s="1" t="str">
        <f t="shared" si="13"/>
        <v>paramDt.Add("@" , master. );//</v>
      </c>
      <c r="T59" s="1" t="str">
        <f t="shared" si="18"/>
        <v>{ name: '' , sort: '' },</v>
      </c>
      <c r="U59" s="1" t="str">
        <f t="shared" si="15"/>
        <v>"":"",</v>
      </c>
      <c r="V59" s="1" t="str">
        <f t="shared" si="16"/>
        <v>this.vo. = 0 ; //</v>
      </c>
    </row>
    <row r="60" spans="1:22" x14ac:dyDescent="0.4">
      <c r="A60" s="1" t="s">
        <v>88</v>
      </c>
      <c r="D60" s="1" t="s">
        <v>6</v>
      </c>
      <c r="I60" s="1" t="str">
        <f t="shared" si="19"/>
        <v xml:space="preserve">///&lt;summary&gt;
///
///&lt;/summary&gt;
public   {get; set;}
</v>
      </c>
      <c r="J60" s="1" t="str">
        <f t="shared" si="2"/>
        <v xml:space="preserve"> AND t1. = @</v>
      </c>
      <c r="K60" s="1" t="str">
        <f t="shared" si="3"/>
        <v>t1.        AS ,</v>
      </c>
      <c r="L60" s="1" t="str">
        <f t="shared" si="4"/>
        <v>,</v>
      </c>
      <c r="M60" s="1" t="str">
        <f t="shared" si="5"/>
        <v>,@</v>
      </c>
      <c r="N60" s="1" t="str">
        <f t="shared" si="6"/>
        <v xml:space="preserve"> = @, </v>
      </c>
      <c r="O60" s="1" t="str">
        <f t="shared" si="9"/>
        <v>error += ExcelUtil.CheckValue(excelVo..ToString()  , "", false, (null, null, ), (false, false, true), (false, false));</v>
      </c>
      <c r="P60" s="1" t="str">
        <f t="shared" si="10"/>
        <v>excelVo. = StringUtil.IsNotEmpty(ExcelUtil.GetCell(sheet, i, j).ToString().TrimEnd())? ExcelUtil.GetCell(sheet, i, j).ToString().TrimEnd().ToUpper():"";j++;//</v>
      </c>
      <c r="Q60" s="1" t="str">
        <f t="shared" si="11"/>
        <v>ExcelUtil.SetContent(sheet, row, column++, (string)item[""]);</v>
      </c>
      <c r="R60" s="1" t="str">
        <f t="shared" si="12"/>
        <v>paramDt.Add("@" ,  );//DECIMAL</v>
      </c>
      <c r="S60" s="1" t="str">
        <f t="shared" si="13"/>
        <v>paramDt.Add("@" , master. );//</v>
      </c>
      <c r="T60" s="1" t="str">
        <f t="shared" si="18"/>
        <v>{ name: '' , sort: '' },</v>
      </c>
      <c r="U60" s="1" t="str">
        <f t="shared" si="15"/>
        <v>"":"",</v>
      </c>
      <c r="V60" s="1" t="str">
        <f t="shared" si="16"/>
        <v>this.vo. = 0 ; //</v>
      </c>
    </row>
    <row r="61" spans="1:22" x14ac:dyDescent="0.4">
      <c r="A61" s="1" t="s">
        <v>88</v>
      </c>
      <c r="D61" s="1" t="s">
        <v>6</v>
      </c>
      <c r="I61" s="1" t="str">
        <f t="shared" si="19"/>
        <v xml:space="preserve">///&lt;summary&gt;
///
///&lt;/summary&gt;
public   {get; set;}
</v>
      </c>
      <c r="J61" s="1" t="str">
        <f t="shared" si="2"/>
        <v xml:space="preserve"> AND t1. = @</v>
      </c>
      <c r="K61" s="1" t="str">
        <f t="shared" si="3"/>
        <v>t1.        AS ,</v>
      </c>
      <c r="L61" s="1" t="str">
        <f t="shared" si="4"/>
        <v>,</v>
      </c>
      <c r="M61" s="1" t="str">
        <f t="shared" si="5"/>
        <v>,@</v>
      </c>
      <c r="N61" s="1" t="str">
        <f t="shared" si="6"/>
        <v xml:space="preserve"> = @, </v>
      </c>
      <c r="O61" s="1" t="str">
        <f t="shared" si="9"/>
        <v>error += ExcelUtil.CheckValue(excelVo..ToString()  , "", false, (null, null, ), (false, false, true), (false, false));</v>
      </c>
      <c r="P61" s="1" t="str">
        <f t="shared" si="10"/>
        <v>excelVo. = StringUtil.IsNotEmpty(ExcelUtil.GetCell(sheet, i, j).ToString().TrimEnd())? ExcelUtil.GetCell(sheet, i, j).ToString().TrimEnd().ToUpper():"";j++;//</v>
      </c>
      <c r="Q61" s="1" t="str">
        <f t="shared" si="11"/>
        <v>ExcelUtil.SetContent(sheet, row, column++, (string)item[""]);</v>
      </c>
      <c r="R61" s="1" t="str">
        <f t="shared" si="12"/>
        <v>paramDt.Add("@" ,  );//DECIMAL</v>
      </c>
      <c r="S61" s="1" t="str">
        <f t="shared" si="13"/>
        <v>paramDt.Add("@" , master. );//</v>
      </c>
      <c r="T61" s="1" t="str">
        <f t="shared" si="18"/>
        <v>{ name: '' , sort: '' },</v>
      </c>
      <c r="U61" s="1" t="str">
        <f t="shared" si="15"/>
        <v>"":"",</v>
      </c>
      <c r="V61" s="1" t="str">
        <f t="shared" si="16"/>
        <v>this.vo. = 0 ; //</v>
      </c>
    </row>
    <row r="62" spans="1:22" x14ac:dyDescent="0.4">
      <c r="A62" s="1" t="s">
        <v>88</v>
      </c>
      <c r="D62" s="1" t="s">
        <v>6</v>
      </c>
      <c r="I62" s="1" t="str">
        <f t="shared" si="19"/>
        <v xml:space="preserve">///&lt;summary&gt;
///
///&lt;/summary&gt;
public   {get; set;}
</v>
      </c>
      <c r="J62" s="1" t="str">
        <f t="shared" si="2"/>
        <v xml:space="preserve"> AND t1. = @</v>
      </c>
      <c r="K62" s="1" t="str">
        <f t="shared" si="3"/>
        <v>t1.        AS ,</v>
      </c>
      <c r="L62" s="1" t="str">
        <f t="shared" si="4"/>
        <v>,</v>
      </c>
      <c r="M62" s="1" t="str">
        <f t="shared" si="5"/>
        <v>,@</v>
      </c>
      <c r="N62" s="1" t="str">
        <f t="shared" si="6"/>
        <v xml:space="preserve"> = @, </v>
      </c>
      <c r="O62" s="1" t="str">
        <f t="shared" si="9"/>
        <v>error += ExcelUtil.CheckValue(excelVo..ToString()  , "", false, (null, null, ), (false, false, true), (false, false));</v>
      </c>
      <c r="P62" s="1" t="str">
        <f t="shared" si="10"/>
        <v>excelVo. = StringUtil.IsNotEmpty(ExcelUtil.GetCell(sheet, i, j).ToString().TrimEnd())? ExcelUtil.GetCell(sheet, i, j).ToString().TrimEnd().ToUpper():"";j++;//</v>
      </c>
      <c r="Q62" s="1" t="str">
        <f t="shared" si="11"/>
        <v>ExcelUtil.SetContent(sheet, row, column++, (string)item[""]);</v>
      </c>
      <c r="R62" s="1" t="str">
        <f t="shared" si="12"/>
        <v>paramDt.Add("@" ,  );//DECIMAL</v>
      </c>
      <c r="S62" s="1" t="str">
        <f t="shared" si="13"/>
        <v>paramDt.Add("@" , master. );//</v>
      </c>
      <c r="T62" s="1" t="str">
        <f t="shared" si="18"/>
        <v>{ name: '' , sort: '' },</v>
      </c>
      <c r="U62" s="1" t="str">
        <f t="shared" si="15"/>
        <v>"":"",</v>
      </c>
      <c r="V62" s="1" t="str">
        <f t="shared" si="16"/>
        <v>this.vo. = 0 ; //</v>
      </c>
    </row>
    <row r="63" spans="1:22" x14ac:dyDescent="0.4">
      <c r="A63" s="1" t="s">
        <v>88</v>
      </c>
      <c r="D63" s="1" t="s">
        <v>6</v>
      </c>
      <c r="I63" s="1" t="str">
        <f t="shared" si="19"/>
        <v xml:space="preserve">///&lt;summary&gt;
///
///&lt;/summary&gt;
public   {get; set;}
</v>
      </c>
      <c r="J63" s="1" t="str">
        <f t="shared" si="2"/>
        <v xml:space="preserve"> AND t1. = @</v>
      </c>
      <c r="K63" s="1" t="str">
        <f t="shared" si="3"/>
        <v>t1.        AS ,</v>
      </c>
      <c r="L63" s="1" t="str">
        <f t="shared" si="4"/>
        <v>,</v>
      </c>
      <c r="M63" s="1" t="str">
        <f t="shared" si="5"/>
        <v>,@</v>
      </c>
      <c r="N63" s="1" t="str">
        <f t="shared" si="6"/>
        <v xml:space="preserve"> = @, </v>
      </c>
      <c r="O63" s="1" t="str">
        <f t="shared" si="9"/>
        <v>error += ExcelUtil.CheckValue(excelVo..ToString()  , "", false, (null, null, ), (false, false, true), (false, false));</v>
      </c>
      <c r="P63" s="1" t="str">
        <f t="shared" si="10"/>
        <v>excelVo. = StringUtil.IsNotEmpty(ExcelUtil.GetCell(sheet, i, j).ToString().TrimEnd())? ExcelUtil.GetCell(sheet, i, j).ToString().TrimEnd().ToUpper():"";j++;//</v>
      </c>
      <c r="Q63" s="1" t="str">
        <f t="shared" si="11"/>
        <v>ExcelUtil.SetContent(sheet, row, column++, (string)item[""]);</v>
      </c>
      <c r="R63" s="1" t="str">
        <f t="shared" si="12"/>
        <v>paramDt.Add("@" ,  );//DECIMAL</v>
      </c>
      <c r="S63" s="1" t="str">
        <f t="shared" si="13"/>
        <v>paramDt.Add("@" , master. );//</v>
      </c>
      <c r="T63" s="1" t="str">
        <f t="shared" si="18"/>
        <v>{ name: '' , sort: '' },</v>
      </c>
      <c r="U63" s="1" t="str">
        <f t="shared" si="15"/>
        <v>"":"",</v>
      </c>
      <c r="V63" s="1" t="str">
        <f t="shared" si="16"/>
        <v>this.vo. = 0 ; //</v>
      </c>
    </row>
    <row r="64" spans="1:22" x14ac:dyDescent="0.4">
      <c r="A64" s="1" t="s">
        <v>88</v>
      </c>
      <c r="D64" s="1" t="s">
        <v>6</v>
      </c>
      <c r="I64" s="1" t="str">
        <f t="shared" si="19"/>
        <v xml:space="preserve">///&lt;summary&gt;
///
///&lt;/summary&gt;
public   {get; set;}
</v>
      </c>
      <c r="J64" s="1" t="str">
        <f t="shared" si="2"/>
        <v xml:space="preserve"> AND t1. = @</v>
      </c>
      <c r="K64" s="1" t="str">
        <f t="shared" si="3"/>
        <v>t1.        AS ,</v>
      </c>
      <c r="L64" s="1" t="str">
        <f t="shared" si="4"/>
        <v>,</v>
      </c>
      <c r="M64" s="1" t="str">
        <f t="shared" si="5"/>
        <v>,@</v>
      </c>
      <c r="N64" s="1" t="str">
        <f t="shared" si="6"/>
        <v xml:space="preserve"> = @, </v>
      </c>
      <c r="O64" s="1" t="str">
        <f t="shared" si="9"/>
        <v>error += ExcelUtil.CheckValue(excelVo..ToString()  , "", false, (null, null, ), (false, false, true), (false, false));</v>
      </c>
      <c r="P64" s="1" t="str">
        <f t="shared" si="10"/>
        <v>excelVo. = StringUtil.IsNotEmpty(ExcelUtil.GetCell(sheet, i, j).ToString().TrimEnd())? ExcelUtil.GetCell(sheet, i, j).ToString().TrimEnd().ToUpper():"";j++;//</v>
      </c>
      <c r="Q64" s="1" t="str">
        <f t="shared" si="11"/>
        <v>ExcelUtil.SetContent(sheet, row, column++, (string)item[""]);</v>
      </c>
      <c r="R64" s="1" t="str">
        <f t="shared" si="12"/>
        <v>paramDt.Add("@" ,  );//DECIMAL</v>
      </c>
      <c r="S64" s="1" t="str">
        <f t="shared" si="13"/>
        <v>paramDt.Add("@" , master. );//</v>
      </c>
      <c r="T64" s="1" t="str">
        <f t="shared" si="18"/>
        <v>{ name: '' , sort: '' },</v>
      </c>
      <c r="U64" s="1" t="str">
        <f t="shared" si="15"/>
        <v>"":"",</v>
      </c>
      <c r="V64" s="1" t="str">
        <f t="shared" si="16"/>
        <v>this.vo. = 0 ; //</v>
      </c>
    </row>
    <row r="65" spans="1:22" x14ac:dyDescent="0.4">
      <c r="A65" s="1" t="s">
        <v>88</v>
      </c>
      <c r="D65" s="1" t="s">
        <v>6</v>
      </c>
      <c r="I65" s="1" t="str">
        <f t="shared" si="19"/>
        <v xml:space="preserve">///&lt;summary&gt;
///
///&lt;/summary&gt;
public   {get; set;}
</v>
      </c>
      <c r="J65" s="1" t="str">
        <f t="shared" si="2"/>
        <v xml:space="preserve"> AND t1. = @</v>
      </c>
      <c r="K65" s="1" t="str">
        <f t="shared" si="3"/>
        <v>t1.        AS ,</v>
      </c>
      <c r="L65" s="1" t="str">
        <f t="shared" si="4"/>
        <v>,</v>
      </c>
      <c r="M65" s="1" t="str">
        <f t="shared" si="5"/>
        <v>,@</v>
      </c>
      <c r="N65" s="1" t="str">
        <f t="shared" si="6"/>
        <v xml:space="preserve"> = @, </v>
      </c>
      <c r="O65" s="1" t="str">
        <f t="shared" si="9"/>
        <v>error += ExcelUtil.CheckValue(excelVo..ToString()  , "", false, (null, null, ), (false, false, true), (false, false));</v>
      </c>
      <c r="P65" s="1" t="str">
        <f t="shared" si="10"/>
        <v>excelVo. = StringUtil.IsNotEmpty(ExcelUtil.GetCell(sheet, i, j).ToString().TrimEnd())? ExcelUtil.GetCell(sheet, i, j).ToString().TrimEnd().ToUpper():"";j++;//</v>
      </c>
      <c r="Q65" s="1" t="str">
        <f t="shared" si="11"/>
        <v>ExcelUtil.SetContent(sheet, row, column++, (string)item[""]);</v>
      </c>
      <c r="R65" s="1" t="str">
        <f t="shared" si="12"/>
        <v>paramDt.Add("@" ,  );//DECIMAL</v>
      </c>
      <c r="S65" s="1" t="str">
        <f t="shared" si="13"/>
        <v>paramDt.Add("@" , master. );//</v>
      </c>
      <c r="T65" s="1" t="str">
        <f t="shared" si="18"/>
        <v>{ name: '' , sort: '' },</v>
      </c>
      <c r="U65" s="1" t="str">
        <f t="shared" si="15"/>
        <v>"":"",</v>
      </c>
      <c r="V65" s="1" t="str">
        <f t="shared" si="16"/>
        <v>this.vo. = 0 ; //</v>
      </c>
    </row>
    <row r="66" spans="1:22" x14ac:dyDescent="0.4">
      <c r="A66" s="1" t="s">
        <v>88</v>
      </c>
      <c r="D66" s="1" t="s">
        <v>6</v>
      </c>
      <c r="I66" s="1" t="str">
        <f t="shared" si="19"/>
        <v xml:space="preserve">///&lt;summary&gt;
///
///&lt;/summary&gt;
public   {get; set;}
</v>
      </c>
      <c r="J66" s="1" t="str">
        <f t="shared" si="2"/>
        <v xml:space="preserve"> AND t1. = @</v>
      </c>
      <c r="K66" s="1" t="str">
        <f t="shared" si="3"/>
        <v>t1.        AS ,</v>
      </c>
      <c r="L66" s="1" t="str">
        <f t="shared" si="4"/>
        <v>,</v>
      </c>
      <c r="M66" s="1" t="str">
        <f t="shared" si="5"/>
        <v>,@</v>
      </c>
      <c r="N66" s="1" t="str">
        <f t="shared" si="6"/>
        <v xml:space="preserve"> = @, </v>
      </c>
      <c r="O66" s="1" t="str">
        <f t="shared" si="9"/>
        <v>error += ExcelUtil.CheckValue(excelVo..ToString()  , "", false, (null, null, ), (false, false, true), (false, false));</v>
      </c>
      <c r="P66" s="1" t="str">
        <f t="shared" si="10"/>
        <v>excelVo. = StringUtil.IsNotEmpty(ExcelUtil.GetCell(sheet, i, j).ToString().TrimEnd())? ExcelUtil.GetCell(sheet, i, j).ToString().TrimEnd().ToUpper():"";j++;//</v>
      </c>
      <c r="Q66" s="1" t="str">
        <f t="shared" si="11"/>
        <v>ExcelUtil.SetContent(sheet, row, column++, (string)item[""]);</v>
      </c>
      <c r="R66" s="1" t="str">
        <f t="shared" si="12"/>
        <v>paramDt.Add("@" ,  );//DECIMAL</v>
      </c>
      <c r="S66" s="1" t="str">
        <f t="shared" si="13"/>
        <v>paramDt.Add("@" , master. );//</v>
      </c>
      <c r="T66" s="1" t="str">
        <f t="shared" si="18"/>
        <v>{ name: '' , sort: '' },</v>
      </c>
      <c r="U66" s="1" t="str">
        <f t="shared" si="15"/>
        <v>"":"",</v>
      </c>
      <c r="V66" s="1" t="str">
        <f t="shared" si="16"/>
        <v>this.vo. = 0 ; //</v>
      </c>
    </row>
    <row r="67" spans="1:22" x14ac:dyDescent="0.4">
      <c r="A67" s="1" t="s">
        <v>88</v>
      </c>
      <c r="D67" s="1" t="s">
        <v>6</v>
      </c>
      <c r="I67" s="1" t="str">
        <f t="shared" si="19"/>
        <v xml:space="preserve">///&lt;summary&gt;
///
///&lt;/summary&gt;
public   {get; set;}
</v>
      </c>
      <c r="J67" s="1" t="str">
        <f t="shared" si="2"/>
        <v xml:space="preserve"> AND t1. = @</v>
      </c>
      <c r="K67" s="1" t="str">
        <f t="shared" si="3"/>
        <v>t1.        AS ,</v>
      </c>
      <c r="L67" s="1" t="str">
        <f t="shared" si="4"/>
        <v>,</v>
      </c>
      <c r="M67" s="1" t="str">
        <f t="shared" si="5"/>
        <v>,@</v>
      </c>
      <c r="N67" s="1" t="str">
        <f t="shared" si="6"/>
        <v xml:space="preserve"> = @, </v>
      </c>
      <c r="O67" s="1" t="str">
        <f t="shared" si="9"/>
        <v>error += ExcelUtil.CheckValue(excelVo..ToString()  , "", false, (null, null, ), (false, false, true), (false, false));</v>
      </c>
      <c r="P67" s="1" t="str">
        <f t="shared" si="10"/>
        <v>excelVo. = StringUtil.IsNotEmpty(ExcelUtil.GetCell(sheet, i, j).ToString().TrimEnd())? ExcelUtil.GetCell(sheet, i, j).ToString().TrimEnd().ToUpper():"";j++;//</v>
      </c>
      <c r="Q67" s="1" t="str">
        <f t="shared" si="11"/>
        <v>ExcelUtil.SetContent(sheet, row, column++, (string)item[""]);</v>
      </c>
      <c r="R67" s="1" t="str">
        <f t="shared" si="12"/>
        <v>paramDt.Add("@" ,  );//DECIMAL</v>
      </c>
      <c r="S67" s="1" t="str">
        <f t="shared" si="13"/>
        <v>paramDt.Add("@" , master. );//</v>
      </c>
      <c r="T67" s="1" t="str">
        <f t="shared" si="18"/>
        <v>{ name: '' , sort: '' },</v>
      </c>
      <c r="U67" s="1" t="str">
        <f t="shared" si="15"/>
        <v>"":"",</v>
      </c>
      <c r="V67" s="1" t="str">
        <f t="shared" si="16"/>
        <v>this.vo. = 0 ; //</v>
      </c>
    </row>
    <row r="68" spans="1:22" x14ac:dyDescent="0.4">
      <c r="A68" s="1" t="s">
        <v>88</v>
      </c>
      <c r="D68" s="1" t="s">
        <v>6</v>
      </c>
      <c r="I68" s="1" t="str">
        <f t="shared" si="19"/>
        <v xml:space="preserve">///&lt;summary&gt;
///
///&lt;/summary&gt;
public   {get; set;}
</v>
      </c>
      <c r="J68" s="1" t="str">
        <f t="shared" si="2"/>
        <v xml:space="preserve"> AND t1. = @</v>
      </c>
      <c r="K68" s="1" t="str">
        <f t="shared" si="3"/>
        <v>t1.        AS ,</v>
      </c>
      <c r="L68" s="1" t="str">
        <f t="shared" si="4"/>
        <v>,</v>
      </c>
      <c r="M68" s="1" t="str">
        <f t="shared" si="5"/>
        <v>,@</v>
      </c>
      <c r="N68" s="1" t="str">
        <f t="shared" si="6"/>
        <v xml:space="preserve"> = @, </v>
      </c>
      <c r="O68" s="1" t="str">
        <f t="shared" si="9"/>
        <v>error += ExcelUtil.CheckValue(excelVo..ToString()  , "", false, (null, null, ), (false, false, true), (false, false));</v>
      </c>
      <c r="P68" s="1" t="str">
        <f t="shared" si="10"/>
        <v>excelVo. = StringUtil.IsNotEmpty(ExcelUtil.GetCell(sheet, i, j).ToString().TrimEnd())? ExcelUtil.GetCell(sheet, i, j).ToString().TrimEnd().ToUpper():"";j++;//</v>
      </c>
      <c r="Q68" s="1" t="str">
        <f t="shared" si="11"/>
        <v>ExcelUtil.SetContent(sheet, row, column++, (string)item[""]);</v>
      </c>
      <c r="R68" s="1" t="str">
        <f t="shared" si="12"/>
        <v>paramDt.Add("@" ,  );//DECIMAL</v>
      </c>
      <c r="S68" s="1" t="str">
        <f t="shared" si="13"/>
        <v>paramDt.Add("@" , master. );//</v>
      </c>
      <c r="T68" s="1" t="str">
        <f t="shared" si="18"/>
        <v>{ name: '' , sort: '' },</v>
      </c>
      <c r="U68" s="1" t="str">
        <f t="shared" si="15"/>
        <v>"":"",</v>
      </c>
      <c r="V68" s="1" t="str">
        <f t="shared" si="16"/>
        <v>this.vo. = 0 ; //</v>
      </c>
    </row>
    <row r="69" spans="1:22" x14ac:dyDescent="0.4">
      <c r="A69" s="1" t="s">
        <v>88</v>
      </c>
      <c r="D69" s="1" t="s">
        <v>6</v>
      </c>
      <c r="I69" s="1" t="str">
        <f t="shared" si="19"/>
        <v xml:space="preserve">///&lt;summary&gt;
///
///&lt;/summary&gt;
public   {get; set;}
</v>
      </c>
      <c r="J69" s="1" t="str">
        <f t="shared" ref="J69:J88" si="20">" AND t1."&amp;B69&amp;" = "&amp;"@"&amp;B69</f>
        <v xml:space="preserve"> AND t1. = @</v>
      </c>
      <c r="K69" s="1" t="str">
        <f t="shared" ref="K69:K88" si="21">"t1."&amp;B69&amp;"        "&amp;"AS "&amp;G69&amp;","</f>
        <v>t1.        AS ,</v>
      </c>
      <c r="L69" s="1" t="str">
        <f t="shared" ref="L69:L88" si="22">","&amp; B69</f>
        <v>,</v>
      </c>
      <c r="M69" s="1" t="str">
        <f t="shared" ref="M69:M88" si="23">",@"&amp;B69</f>
        <v>,@</v>
      </c>
      <c r="N69" s="1" t="str">
        <f t="shared" ref="N69:N88" si="24">B69&amp;" = "&amp;"@"&amp;B69&amp;", "</f>
        <v xml:space="preserve"> = @, </v>
      </c>
      <c r="O69" s="1" t="str">
        <f t="shared" si="9"/>
        <v>error += ExcelUtil.CheckValue(excelVo..ToString()  , "", false, (null, null, ), (false, false, true), (false, false));</v>
      </c>
      <c r="P69" s="1" t="str">
        <f t="shared" si="10"/>
        <v>excelVo. = StringUtil.IsNotEmpty(ExcelUtil.GetCell(sheet, i, j).ToString().TrimEnd())? ExcelUtil.GetCell(sheet, i, j).ToString().TrimEnd().ToUpper():"";j++;//</v>
      </c>
      <c r="Q69" s="1" t="str">
        <f t="shared" si="11"/>
        <v>ExcelUtil.SetContent(sheet, row, column++, (string)item[""]);</v>
      </c>
      <c r="R69" s="1" t="str">
        <f t="shared" si="12"/>
        <v>paramDt.Add("@" ,  );//DECIMAL</v>
      </c>
      <c r="S69" s="1" t="str">
        <f t="shared" si="13"/>
        <v>paramDt.Add("@" , master. );//</v>
      </c>
      <c r="T69" s="1" t="str">
        <f t="shared" si="18"/>
        <v>{ name: '' , sort: '' },</v>
      </c>
      <c r="U69" s="1" t="str">
        <f t="shared" si="15"/>
        <v>"":"",</v>
      </c>
      <c r="V69" s="1" t="str">
        <f t="shared" si="16"/>
        <v>this.vo. = 0 ; //</v>
      </c>
    </row>
    <row r="70" spans="1:22" x14ac:dyDescent="0.4">
      <c r="A70" s="1" t="s">
        <v>88</v>
      </c>
      <c r="D70" s="1" t="s">
        <v>6</v>
      </c>
      <c r="I70" s="1" t="str">
        <f t="shared" si="19"/>
        <v xml:space="preserve">///&lt;summary&gt;
///
///&lt;/summary&gt;
public   {get; set;}
</v>
      </c>
      <c r="J70" s="1" t="str">
        <f t="shared" si="20"/>
        <v xml:space="preserve"> AND t1. = @</v>
      </c>
      <c r="K70" s="1" t="str">
        <f t="shared" si="21"/>
        <v>t1.        AS ,</v>
      </c>
      <c r="L70" s="1" t="str">
        <f t="shared" si="22"/>
        <v>,</v>
      </c>
      <c r="M70" s="1" t="str">
        <f t="shared" si="23"/>
        <v>,@</v>
      </c>
      <c r="N70" s="1" t="str">
        <f t="shared" si="24"/>
        <v xml:space="preserve"> = @, </v>
      </c>
      <c r="O70" s="1" t="str">
        <f t="shared" ref="O70:O88" si="25">"error += ExcelUtil.CheckValue("&amp; IF(LOWER(D70)="decimal","excelVo."&amp;G70&amp;".ToString() ","excelVo."&amp;G70)  &amp;" , "&amp; """" &amp; TRIM(C70)&amp;""""&amp;", false, (null, null, "&amp;E70&amp;"), ("&amp;IF(LOWER(D70)="decimal","false","true")&amp;", false, "&amp;IF(LOWER(D70)="decimal","true","false")&amp;"), (false, false));"</f>
        <v>error += ExcelUtil.CheckValue(excelVo..ToString()  , "", false, (null, null, ), (false, false, true), (false, false));</v>
      </c>
      <c r="P70" s="1" t="str">
        <f t="shared" ref="P70:P88" si="26">"excelVo."&amp; G70&amp; " = StringUtil.IsNotEmpty(ExcelUtil.GetCell(sheet, i, j).ToString().TrimEnd())? ExcelUtil.GetCell(sheet, i, j).ToString().TrimEnd().ToUpper():"&amp; """" &amp; """" &amp;";j++;" &amp;"//"&amp;C70</f>
        <v>excelVo. = StringUtil.IsNotEmpty(ExcelUtil.GetCell(sheet, i, j).ToString().TrimEnd())? ExcelUtil.GetCell(sheet, i, j).ToString().TrimEnd().ToUpper():"";j++;//</v>
      </c>
      <c r="Q70" s="1" t="str">
        <f t="shared" ref="Q70:Q88" si="27">"ExcelUtil.SetContent(sheet, row, column++, (string)item["&amp;""""&amp;F70 &amp;""""&amp;"]);"</f>
        <v>ExcelUtil.SetContent(sheet, row, column++, (string)item[""]);</v>
      </c>
      <c r="R70" s="1" t="str">
        <f t="shared" ref="R70:R88" si="28">"paramDt.Add("&amp; """" &amp;"@"&amp; B70&amp; """" &amp;" , "&amp; G70 &amp;" );//"&amp;D70</f>
        <v>paramDt.Add("@" ,  );//DECIMAL</v>
      </c>
      <c r="S70" s="1" t="str">
        <f t="shared" ref="S70:S88" si="29">"paramDt.Add("&amp; """" &amp;"@"&amp; B70&amp; """" &amp;" , master."&amp; G70 &amp;" );//"&amp;C70</f>
        <v>paramDt.Add("@" , master. );//</v>
      </c>
      <c r="T70" s="1" t="str">
        <f t="shared" si="18"/>
        <v>{ name: '' , sort: '' },</v>
      </c>
      <c r="U70" s="1" t="str">
        <f t="shared" ref="U70:U88" si="30">""""&amp;F70&amp;""""&amp;":"&amp;""""&amp;TRIM(C70)&amp;""""&amp;","</f>
        <v>"":"",</v>
      </c>
      <c r="V70" s="1" t="str">
        <f t="shared" ref="V70:V88" si="31">IF(LOWER(D70)="decimal","this.vo."&amp;F70&amp;" = "&amp;0,"this.vo."&amp;F70&amp;" = ''")&amp;" ; //"&amp;TRIM(C70)</f>
        <v>this.vo. = 0 ; //</v>
      </c>
    </row>
    <row r="71" spans="1:22" x14ac:dyDescent="0.4">
      <c r="A71" s="1" t="s">
        <v>88</v>
      </c>
      <c r="D71" s="1" t="s">
        <v>6</v>
      </c>
      <c r="I71" s="1" t="str">
        <f t="shared" si="19"/>
        <v xml:space="preserve">///&lt;summary&gt;
///
///&lt;/summary&gt;
public   {get; set;}
</v>
      </c>
      <c r="J71" s="1" t="str">
        <f t="shared" si="20"/>
        <v xml:space="preserve"> AND t1. = @</v>
      </c>
      <c r="K71" s="1" t="str">
        <f t="shared" si="21"/>
        <v>t1.        AS ,</v>
      </c>
      <c r="L71" s="1" t="str">
        <f t="shared" si="22"/>
        <v>,</v>
      </c>
      <c r="M71" s="1" t="str">
        <f t="shared" si="23"/>
        <v>,@</v>
      </c>
      <c r="N71" s="1" t="str">
        <f t="shared" si="24"/>
        <v xml:space="preserve"> = @, </v>
      </c>
      <c r="O71" s="1" t="str">
        <f t="shared" si="25"/>
        <v>error += ExcelUtil.CheckValue(excelVo..ToString()  , "", false, (null, null, ), (false, false, true), (false, false));</v>
      </c>
      <c r="P71" s="1" t="str">
        <f t="shared" si="26"/>
        <v>excelVo. = StringUtil.IsNotEmpty(ExcelUtil.GetCell(sheet, i, j).ToString().TrimEnd())? ExcelUtil.GetCell(sheet, i, j).ToString().TrimEnd().ToUpper():"";j++;//</v>
      </c>
      <c r="Q71" s="1" t="str">
        <f t="shared" si="27"/>
        <v>ExcelUtil.SetContent(sheet, row, column++, (string)item[""]);</v>
      </c>
      <c r="R71" s="1" t="str">
        <f t="shared" si="28"/>
        <v>paramDt.Add("@" ,  );//DECIMAL</v>
      </c>
      <c r="S71" s="1" t="str">
        <f t="shared" si="29"/>
        <v>paramDt.Add("@" , master. );//</v>
      </c>
      <c r="T71" s="1" t="str">
        <f t="shared" si="18"/>
        <v>{ name: '' , sort: '' },</v>
      </c>
      <c r="U71" s="1" t="str">
        <f t="shared" si="30"/>
        <v>"":"",</v>
      </c>
      <c r="V71" s="1" t="str">
        <f t="shared" si="31"/>
        <v>this.vo. = 0 ; //</v>
      </c>
    </row>
    <row r="72" spans="1:22" x14ac:dyDescent="0.4">
      <c r="A72" s="1" t="s">
        <v>88</v>
      </c>
      <c r="D72" s="1" t="s">
        <v>6</v>
      </c>
      <c r="I72" s="1" t="str">
        <f t="shared" si="19"/>
        <v xml:space="preserve">///&lt;summary&gt;
///
///&lt;/summary&gt;
public   {get; set;}
</v>
      </c>
      <c r="J72" s="1" t="str">
        <f t="shared" si="20"/>
        <v xml:space="preserve"> AND t1. = @</v>
      </c>
      <c r="K72" s="1" t="str">
        <f t="shared" si="21"/>
        <v>t1.        AS ,</v>
      </c>
      <c r="L72" s="1" t="str">
        <f t="shared" si="22"/>
        <v>,</v>
      </c>
      <c r="M72" s="1" t="str">
        <f t="shared" si="23"/>
        <v>,@</v>
      </c>
      <c r="N72" s="1" t="str">
        <f t="shared" si="24"/>
        <v xml:space="preserve"> = @, </v>
      </c>
      <c r="O72" s="1" t="str">
        <f t="shared" si="25"/>
        <v>error += ExcelUtil.CheckValue(excelVo..ToString()  , "", false, (null, null, ), (false, false, true), (false, false));</v>
      </c>
      <c r="P72" s="1" t="str">
        <f t="shared" si="26"/>
        <v>excelVo. = StringUtil.IsNotEmpty(ExcelUtil.GetCell(sheet, i, j).ToString().TrimEnd())? ExcelUtil.GetCell(sheet, i, j).ToString().TrimEnd().ToUpper():"";j++;//</v>
      </c>
      <c r="Q72" s="1" t="str">
        <f t="shared" si="27"/>
        <v>ExcelUtil.SetContent(sheet, row, column++, (string)item[""]);</v>
      </c>
      <c r="R72" s="1" t="str">
        <f t="shared" si="28"/>
        <v>paramDt.Add("@" ,  );//DECIMAL</v>
      </c>
      <c r="S72" s="1" t="str">
        <f t="shared" si="29"/>
        <v>paramDt.Add("@" , master. );//</v>
      </c>
      <c r="T72" s="1" t="str">
        <f t="shared" si="18"/>
        <v>{ name: '' , sort: '' },</v>
      </c>
      <c r="U72" s="1" t="str">
        <f t="shared" si="30"/>
        <v>"":"",</v>
      </c>
      <c r="V72" s="1" t="str">
        <f t="shared" si="31"/>
        <v>this.vo. = 0 ; //</v>
      </c>
    </row>
    <row r="73" spans="1:22" x14ac:dyDescent="0.4">
      <c r="A73" s="1" t="s">
        <v>88</v>
      </c>
      <c r="D73" s="1" t="s">
        <v>6</v>
      </c>
      <c r="I73" s="1" t="str">
        <f t="shared" si="19"/>
        <v xml:space="preserve">///&lt;summary&gt;
///
///&lt;/summary&gt;
public   {get; set;}
</v>
      </c>
      <c r="J73" s="1" t="str">
        <f t="shared" si="20"/>
        <v xml:space="preserve"> AND t1. = @</v>
      </c>
      <c r="K73" s="1" t="str">
        <f t="shared" si="21"/>
        <v>t1.        AS ,</v>
      </c>
      <c r="L73" s="1" t="str">
        <f t="shared" si="22"/>
        <v>,</v>
      </c>
      <c r="M73" s="1" t="str">
        <f t="shared" si="23"/>
        <v>,@</v>
      </c>
      <c r="N73" s="1" t="str">
        <f t="shared" si="24"/>
        <v xml:space="preserve"> = @, </v>
      </c>
      <c r="O73" s="1" t="str">
        <f t="shared" si="25"/>
        <v>error += ExcelUtil.CheckValue(excelVo..ToString()  , "", false, (null, null, ), (false, false, true), (false, false));</v>
      </c>
      <c r="P73" s="1" t="str">
        <f t="shared" si="26"/>
        <v>excelVo. = StringUtil.IsNotEmpty(ExcelUtil.GetCell(sheet, i, j).ToString().TrimEnd())? ExcelUtil.GetCell(sheet, i, j).ToString().TrimEnd().ToUpper():"";j++;//</v>
      </c>
      <c r="Q73" s="1" t="str">
        <f t="shared" si="27"/>
        <v>ExcelUtil.SetContent(sheet, row, column++, (string)item[""]);</v>
      </c>
      <c r="R73" s="1" t="str">
        <f t="shared" si="28"/>
        <v>paramDt.Add("@" ,  );//DECIMAL</v>
      </c>
      <c r="S73" s="1" t="str">
        <f t="shared" si="29"/>
        <v>paramDt.Add("@" , master. );//</v>
      </c>
      <c r="T73" s="1" t="str">
        <f t="shared" si="18"/>
        <v>{ name: '' , sort: '' },</v>
      </c>
      <c r="U73" s="1" t="str">
        <f t="shared" si="30"/>
        <v>"":"",</v>
      </c>
      <c r="V73" s="1" t="str">
        <f t="shared" si="31"/>
        <v>this.vo. = 0 ; //</v>
      </c>
    </row>
    <row r="74" spans="1:22" x14ac:dyDescent="0.4">
      <c r="A74" s="1" t="s">
        <v>88</v>
      </c>
      <c r="D74" s="1" t="s">
        <v>6</v>
      </c>
      <c r="I74" s="1" t="str">
        <f t="shared" si="19"/>
        <v xml:space="preserve">///&lt;summary&gt;
///
///&lt;/summary&gt;
public   {get; set;}
</v>
      </c>
      <c r="J74" s="1" t="str">
        <f t="shared" si="20"/>
        <v xml:space="preserve"> AND t1. = @</v>
      </c>
      <c r="K74" s="1" t="str">
        <f t="shared" si="21"/>
        <v>t1.        AS ,</v>
      </c>
      <c r="L74" s="1" t="str">
        <f t="shared" si="22"/>
        <v>,</v>
      </c>
      <c r="M74" s="1" t="str">
        <f t="shared" si="23"/>
        <v>,@</v>
      </c>
      <c r="N74" s="1" t="str">
        <f t="shared" si="24"/>
        <v xml:space="preserve"> = @, </v>
      </c>
      <c r="O74" s="1" t="str">
        <f t="shared" si="25"/>
        <v>error += ExcelUtil.CheckValue(excelVo..ToString()  , "", false, (null, null, ), (false, false, true), (false, false));</v>
      </c>
      <c r="P74" s="1" t="str">
        <f t="shared" si="26"/>
        <v>excelVo. = StringUtil.IsNotEmpty(ExcelUtil.GetCell(sheet, i, j).ToString().TrimEnd())? ExcelUtil.GetCell(sheet, i, j).ToString().TrimEnd().ToUpper():"";j++;//</v>
      </c>
      <c r="Q74" s="1" t="str">
        <f t="shared" si="27"/>
        <v>ExcelUtil.SetContent(sheet, row, column++, (string)item[""]);</v>
      </c>
      <c r="R74" s="1" t="str">
        <f t="shared" si="28"/>
        <v>paramDt.Add("@" ,  );//DECIMAL</v>
      </c>
      <c r="S74" s="1" t="str">
        <f t="shared" si="29"/>
        <v>paramDt.Add("@" , master. );//</v>
      </c>
      <c r="T74" s="1" t="str">
        <f t="shared" si="18"/>
        <v>{ name: '' , sort: '' },</v>
      </c>
      <c r="U74" s="1" t="str">
        <f t="shared" si="30"/>
        <v>"":"",</v>
      </c>
      <c r="V74" s="1" t="str">
        <f t="shared" si="31"/>
        <v>this.vo. = 0 ; //</v>
      </c>
    </row>
    <row r="75" spans="1:22" x14ac:dyDescent="0.4">
      <c r="A75" s="1" t="s">
        <v>88</v>
      </c>
      <c r="D75" s="1" t="s">
        <v>6</v>
      </c>
      <c r="I75" s="1" t="str">
        <f t="shared" si="19"/>
        <v xml:space="preserve">///&lt;summary&gt;
///
///&lt;/summary&gt;
public   {get; set;}
</v>
      </c>
      <c r="J75" s="1" t="str">
        <f t="shared" si="20"/>
        <v xml:space="preserve"> AND t1. = @</v>
      </c>
      <c r="K75" s="1" t="str">
        <f t="shared" si="21"/>
        <v>t1.        AS ,</v>
      </c>
      <c r="L75" s="1" t="str">
        <f t="shared" si="22"/>
        <v>,</v>
      </c>
      <c r="M75" s="1" t="str">
        <f t="shared" si="23"/>
        <v>,@</v>
      </c>
      <c r="N75" s="1" t="str">
        <f t="shared" si="24"/>
        <v xml:space="preserve"> = @, </v>
      </c>
      <c r="O75" s="1" t="str">
        <f t="shared" si="25"/>
        <v>error += ExcelUtil.CheckValue(excelVo..ToString()  , "", false, (null, null, ), (false, false, true), (false, false));</v>
      </c>
      <c r="P75" s="1" t="str">
        <f t="shared" si="26"/>
        <v>excelVo. = StringUtil.IsNotEmpty(ExcelUtil.GetCell(sheet, i, j).ToString().TrimEnd())? ExcelUtil.GetCell(sheet, i, j).ToString().TrimEnd().ToUpper():"";j++;//</v>
      </c>
      <c r="Q75" s="1" t="str">
        <f t="shared" si="27"/>
        <v>ExcelUtil.SetContent(sheet, row, column++, (string)item[""]);</v>
      </c>
      <c r="R75" s="1" t="str">
        <f t="shared" si="28"/>
        <v>paramDt.Add("@" ,  );//DECIMAL</v>
      </c>
      <c r="S75" s="1" t="str">
        <f t="shared" si="29"/>
        <v>paramDt.Add("@" , master. );//</v>
      </c>
      <c r="T75" s="1" t="str">
        <f t="shared" si="18"/>
        <v>{ name: '' , sort: '' },</v>
      </c>
      <c r="U75" s="1" t="str">
        <f t="shared" si="30"/>
        <v>"":"",</v>
      </c>
      <c r="V75" s="1" t="str">
        <f t="shared" si="31"/>
        <v>this.vo. = 0 ; //</v>
      </c>
    </row>
    <row r="76" spans="1:22" x14ac:dyDescent="0.4">
      <c r="A76" s="1" t="s">
        <v>88</v>
      </c>
      <c r="D76" s="1" t="s">
        <v>6</v>
      </c>
      <c r="I76" s="1" t="str">
        <f t="shared" si="19"/>
        <v xml:space="preserve">///&lt;summary&gt;
///
///&lt;/summary&gt;
public   {get; set;}
</v>
      </c>
      <c r="J76" s="1" t="str">
        <f t="shared" si="20"/>
        <v xml:space="preserve"> AND t1. = @</v>
      </c>
      <c r="K76" s="1" t="str">
        <f t="shared" si="21"/>
        <v>t1.        AS ,</v>
      </c>
      <c r="L76" s="1" t="str">
        <f t="shared" si="22"/>
        <v>,</v>
      </c>
      <c r="M76" s="1" t="str">
        <f t="shared" si="23"/>
        <v>,@</v>
      </c>
      <c r="N76" s="1" t="str">
        <f t="shared" si="24"/>
        <v xml:space="preserve"> = @, </v>
      </c>
      <c r="O76" s="1" t="str">
        <f t="shared" si="25"/>
        <v>error += ExcelUtil.CheckValue(excelVo..ToString()  , "", false, (null, null, ), (false, false, true), (false, false));</v>
      </c>
      <c r="P76" s="1" t="str">
        <f t="shared" si="26"/>
        <v>excelVo. = StringUtil.IsNotEmpty(ExcelUtil.GetCell(sheet, i, j).ToString().TrimEnd())? ExcelUtil.GetCell(sheet, i, j).ToString().TrimEnd().ToUpper():"";j++;//</v>
      </c>
      <c r="Q76" s="1" t="str">
        <f t="shared" si="27"/>
        <v>ExcelUtil.SetContent(sheet, row, column++, (string)item[""]);</v>
      </c>
      <c r="R76" s="1" t="str">
        <f t="shared" si="28"/>
        <v>paramDt.Add("@" ,  );//DECIMAL</v>
      </c>
      <c r="S76" s="1" t="str">
        <f t="shared" si="29"/>
        <v>paramDt.Add("@" , master. );//</v>
      </c>
      <c r="T76" s="1" t="str">
        <f t="shared" si="18"/>
        <v>{ name: '' , sort: '' },</v>
      </c>
      <c r="U76" s="1" t="str">
        <f t="shared" si="30"/>
        <v>"":"",</v>
      </c>
      <c r="V76" s="1" t="str">
        <f t="shared" si="31"/>
        <v>this.vo. = 0 ; //</v>
      </c>
    </row>
    <row r="77" spans="1:22" x14ac:dyDescent="0.4">
      <c r="A77" s="1" t="s">
        <v>88</v>
      </c>
      <c r="D77" s="1" t="s">
        <v>6</v>
      </c>
      <c r="I77" s="1" t="str">
        <f t="shared" si="19"/>
        <v xml:space="preserve">///&lt;summary&gt;
///
///&lt;/summary&gt;
public   {get; set;}
</v>
      </c>
      <c r="J77" s="1" t="str">
        <f t="shared" si="20"/>
        <v xml:space="preserve"> AND t1. = @</v>
      </c>
      <c r="K77" s="1" t="str">
        <f t="shared" si="21"/>
        <v>t1.        AS ,</v>
      </c>
      <c r="L77" s="1" t="str">
        <f t="shared" si="22"/>
        <v>,</v>
      </c>
      <c r="M77" s="1" t="str">
        <f t="shared" si="23"/>
        <v>,@</v>
      </c>
      <c r="N77" s="1" t="str">
        <f t="shared" si="24"/>
        <v xml:space="preserve"> = @, </v>
      </c>
      <c r="O77" s="1" t="str">
        <f t="shared" si="25"/>
        <v>error += ExcelUtil.CheckValue(excelVo..ToString()  , "", false, (null, null, ), (false, false, true), (false, false));</v>
      </c>
      <c r="P77" s="1" t="str">
        <f t="shared" si="26"/>
        <v>excelVo. = StringUtil.IsNotEmpty(ExcelUtil.GetCell(sheet, i, j).ToString().TrimEnd())? ExcelUtil.GetCell(sheet, i, j).ToString().TrimEnd().ToUpper():"";j++;//</v>
      </c>
      <c r="Q77" s="1" t="str">
        <f t="shared" si="27"/>
        <v>ExcelUtil.SetContent(sheet, row, column++, (string)item[""]);</v>
      </c>
      <c r="R77" s="1" t="str">
        <f t="shared" si="28"/>
        <v>paramDt.Add("@" ,  );//DECIMAL</v>
      </c>
      <c r="S77" s="1" t="str">
        <f t="shared" si="29"/>
        <v>paramDt.Add("@" , master. );//</v>
      </c>
      <c r="T77" s="1" t="str">
        <f t="shared" si="18"/>
        <v>{ name: '' , sort: '' },</v>
      </c>
      <c r="U77" s="1" t="str">
        <f t="shared" si="30"/>
        <v>"":"",</v>
      </c>
      <c r="V77" s="1" t="str">
        <f t="shared" si="31"/>
        <v>this.vo. = 0 ; //</v>
      </c>
    </row>
    <row r="78" spans="1:22" x14ac:dyDescent="0.4">
      <c r="A78" s="1" t="s">
        <v>88</v>
      </c>
      <c r="D78" s="1" t="s">
        <v>6</v>
      </c>
      <c r="I78" s="1" t="str">
        <f t="shared" si="19"/>
        <v xml:space="preserve">///&lt;summary&gt;
///
///&lt;/summary&gt;
public   {get; set;}
</v>
      </c>
      <c r="J78" s="1" t="str">
        <f t="shared" si="20"/>
        <v xml:space="preserve"> AND t1. = @</v>
      </c>
      <c r="K78" s="1" t="str">
        <f t="shared" si="21"/>
        <v>t1.        AS ,</v>
      </c>
      <c r="L78" s="1" t="str">
        <f t="shared" si="22"/>
        <v>,</v>
      </c>
      <c r="M78" s="1" t="str">
        <f t="shared" si="23"/>
        <v>,@</v>
      </c>
      <c r="N78" s="1" t="str">
        <f t="shared" si="24"/>
        <v xml:space="preserve"> = @, </v>
      </c>
      <c r="O78" s="1" t="str">
        <f t="shared" si="25"/>
        <v>error += ExcelUtil.CheckValue(excelVo..ToString()  , "", false, (null, null, ), (false, false, true), (false, false));</v>
      </c>
      <c r="P78" s="1" t="str">
        <f t="shared" si="26"/>
        <v>excelVo. = StringUtil.IsNotEmpty(ExcelUtil.GetCell(sheet, i, j).ToString().TrimEnd())? ExcelUtil.GetCell(sheet, i, j).ToString().TrimEnd().ToUpper():"";j++;//</v>
      </c>
      <c r="Q78" s="1" t="str">
        <f t="shared" si="27"/>
        <v>ExcelUtil.SetContent(sheet, row, column++, (string)item[""]);</v>
      </c>
      <c r="R78" s="1" t="str">
        <f t="shared" si="28"/>
        <v>paramDt.Add("@" ,  );//DECIMAL</v>
      </c>
      <c r="S78" s="1" t="str">
        <f t="shared" si="29"/>
        <v>paramDt.Add("@" , master. );//</v>
      </c>
      <c r="T78" s="1" t="str">
        <f t="shared" si="18"/>
        <v>{ name: '' , sort: '' },</v>
      </c>
      <c r="U78" s="1" t="str">
        <f t="shared" si="30"/>
        <v>"":"",</v>
      </c>
      <c r="V78" s="1" t="str">
        <f t="shared" si="31"/>
        <v>this.vo. = 0 ; //</v>
      </c>
    </row>
    <row r="79" spans="1:22" x14ac:dyDescent="0.4">
      <c r="A79" s="1" t="s">
        <v>88</v>
      </c>
      <c r="D79" s="1" t="s">
        <v>5</v>
      </c>
      <c r="I79" s="1" t="str">
        <f t="shared" si="19"/>
        <v xml:space="preserve">///&lt;summary&gt;
///
///&lt;/summary&gt;
public   {get; set;}
</v>
      </c>
      <c r="J79" s="1" t="str">
        <f t="shared" si="20"/>
        <v xml:space="preserve"> AND t1. = @</v>
      </c>
      <c r="K79" s="1" t="str">
        <f t="shared" si="21"/>
        <v>t1.        AS ,</v>
      </c>
      <c r="L79" s="1" t="str">
        <f t="shared" si="22"/>
        <v>,</v>
      </c>
      <c r="M79" s="1" t="str">
        <f t="shared" si="23"/>
        <v>,@</v>
      </c>
      <c r="N79" s="1" t="str">
        <f t="shared" si="24"/>
        <v xml:space="preserve"> = @, </v>
      </c>
      <c r="O79" s="1" t="str">
        <f t="shared" si="25"/>
        <v>error += ExcelUtil.CheckValue(excelVo. , "", false, (null, null, ), (true, false, false), (false, false));</v>
      </c>
      <c r="P79" s="1" t="str">
        <f t="shared" si="26"/>
        <v>excelVo. = StringUtil.IsNotEmpty(ExcelUtil.GetCell(sheet, i, j).ToString().TrimEnd())? ExcelUtil.GetCell(sheet, i, j).ToString().TrimEnd().ToUpper():"";j++;//</v>
      </c>
      <c r="Q79" s="1" t="str">
        <f t="shared" si="27"/>
        <v>ExcelUtil.SetContent(sheet, row, column++, (string)item[""]);</v>
      </c>
      <c r="R79" s="1" t="str">
        <f t="shared" si="28"/>
        <v>paramDt.Add("@" ,  );//VARCHAR</v>
      </c>
      <c r="S79" s="1" t="str">
        <f t="shared" si="29"/>
        <v>paramDt.Add("@" , master. );//</v>
      </c>
      <c r="T79" s="1" t="str">
        <f t="shared" si="18"/>
        <v>{ name: '' , sort: '' },</v>
      </c>
      <c r="U79" s="1" t="str">
        <f t="shared" si="30"/>
        <v>"":"",</v>
      </c>
      <c r="V79" s="1" t="str">
        <f t="shared" si="31"/>
        <v>this.vo. = '' ; //</v>
      </c>
    </row>
    <row r="80" spans="1:22" x14ac:dyDescent="0.4">
      <c r="A80" s="1" t="s">
        <v>88</v>
      </c>
      <c r="D80" s="1" t="s">
        <v>5</v>
      </c>
      <c r="I80" s="1" t="str">
        <f t="shared" si="19"/>
        <v xml:space="preserve">///&lt;summary&gt;
///
///&lt;/summary&gt;
public   {get; set;}
</v>
      </c>
      <c r="J80" s="1" t="str">
        <f t="shared" si="20"/>
        <v xml:space="preserve"> AND t1. = @</v>
      </c>
      <c r="K80" s="1" t="str">
        <f t="shared" si="21"/>
        <v>t1.        AS ,</v>
      </c>
      <c r="L80" s="1" t="str">
        <f t="shared" si="22"/>
        <v>,</v>
      </c>
      <c r="M80" s="1" t="str">
        <f t="shared" si="23"/>
        <v>,@</v>
      </c>
      <c r="N80" s="1" t="str">
        <f t="shared" si="24"/>
        <v xml:space="preserve"> = @, </v>
      </c>
      <c r="O80" s="1" t="str">
        <f t="shared" si="25"/>
        <v>error += ExcelUtil.CheckValue(excelVo. , "", false, (null, null, ), (true, false, false), (false, false));</v>
      </c>
      <c r="P80" s="1" t="str">
        <f t="shared" si="26"/>
        <v>excelVo. = StringUtil.IsNotEmpty(ExcelUtil.GetCell(sheet, i, j).ToString().TrimEnd())? ExcelUtil.GetCell(sheet, i, j).ToString().TrimEnd().ToUpper():"";j++;//</v>
      </c>
      <c r="Q80" s="1" t="str">
        <f t="shared" si="27"/>
        <v>ExcelUtil.SetContent(sheet, row, column++, (string)item[""]);</v>
      </c>
      <c r="R80" s="1" t="str">
        <f t="shared" si="28"/>
        <v>paramDt.Add("@" ,  );//VARCHAR</v>
      </c>
      <c r="S80" s="1" t="str">
        <f t="shared" si="29"/>
        <v>paramDt.Add("@" , master. );//</v>
      </c>
      <c r="T80" s="1" t="str">
        <f t="shared" si="18"/>
        <v>{ name: '' , sort: '' },</v>
      </c>
      <c r="U80" s="1" t="str">
        <f t="shared" si="30"/>
        <v>"":"",</v>
      </c>
      <c r="V80" s="1" t="str">
        <f t="shared" si="31"/>
        <v>this.vo. = '' ; //</v>
      </c>
    </row>
    <row r="81" spans="1:22" x14ac:dyDescent="0.4">
      <c r="A81" s="1" t="s">
        <v>88</v>
      </c>
      <c r="D81" s="1" t="s">
        <v>5</v>
      </c>
      <c r="I81" s="1" t="str">
        <f t="shared" si="19"/>
        <v xml:space="preserve">///&lt;summary&gt;
///
///&lt;/summary&gt;
public   {get; set;}
</v>
      </c>
      <c r="J81" s="1" t="str">
        <f t="shared" si="20"/>
        <v xml:space="preserve"> AND t1. = @</v>
      </c>
      <c r="K81" s="1" t="str">
        <f t="shared" si="21"/>
        <v>t1.        AS ,</v>
      </c>
      <c r="L81" s="1" t="str">
        <f t="shared" si="22"/>
        <v>,</v>
      </c>
      <c r="M81" s="1" t="str">
        <f t="shared" si="23"/>
        <v>,@</v>
      </c>
      <c r="N81" s="1" t="str">
        <f t="shared" si="24"/>
        <v xml:space="preserve"> = @, </v>
      </c>
      <c r="O81" s="1" t="str">
        <f t="shared" si="25"/>
        <v>error += ExcelUtil.CheckValue(excelVo. , "", false, (null, null, ), (true, false, false), (false, false));</v>
      </c>
      <c r="P81" s="1" t="str">
        <f t="shared" si="26"/>
        <v>excelVo. = StringUtil.IsNotEmpty(ExcelUtil.GetCell(sheet, i, j).ToString().TrimEnd())? ExcelUtil.GetCell(sheet, i, j).ToString().TrimEnd().ToUpper():"";j++;//</v>
      </c>
      <c r="Q81" s="1" t="str">
        <f t="shared" si="27"/>
        <v>ExcelUtil.SetContent(sheet, row, column++, (string)item[""]);</v>
      </c>
      <c r="R81" s="1" t="str">
        <f t="shared" si="28"/>
        <v>paramDt.Add("@" ,  );//VARCHAR</v>
      </c>
      <c r="S81" s="1" t="str">
        <f t="shared" si="29"/>
        <v>paramDt.Add("@" , master. );//</v>
      </c>
      <c r="T81" s="1" t="str">
        <f t="shared" si="18"/>
        <v>{ name: '' , sort: '' },</v>
      </c>
      <c r="U81" s="1" t="str">
        <f t="shared" si="30"/>
        <v>"":"",</v>
      </c>
      <c r="V81" s="1" t="str">
        <f t="shared" si="31"/>
        <v>this.vo. = '' ; //</v>
      </c>
    </row>
    <row r="82" spans="1:22" x14ac:dyDescent="0.4">
      <c r="A82" s="1" t="s">
        <v>88</v>
      </c>
      <c r="D82" s="1" t="s">
        <v>5</v>
      </c>
      <c r="I82" s="1" t="str">
        <f t="shared" si="19"/>
        <v xml:space="preserve">///&lt;summary&gt;
///
///&lt;/summary&gt;
public   {get; set;}
</v>
      </c>
      <c r="J82" s="1" t="str">
        <f t="shared" si="20"/>
        <v xml:space="preserve"> AND t1. = @</v>
      </c>
      <c r="K82" s="1" t="str">
        <f t="shared" si="21"/>
        <v>t1.        AS ,</v>
      </c>
      <c r="L82" s="1" t="str">
        <f t="shared" si="22"/>
        <v>,</v>
      </c>
      <c r="M82" s="1" t="str">
        <f t="shared" si="23"/>
        <v>,@</v>
      </c>
      <c r="N82" s="1" t="str">
        <f t="shared" si="24"/>
        <v xml:space="preserve"> = @, </v>
      </c>
      <c r="O82" s="1" t="str">
        <f t="shared" si="25"/>
        <v>error += ExcelUtil.CheckValue(excelVo. , "", false, (null, null, ), (true, false, false), (false, false));</v>
      </c>
      <c r="P82" s="1" t="str">
        <f t="shared" si="26"/>
        <v>excelVo. = StringUtil.IsNotEmpty(ExcelUtil.GetCell(sheet, i, j).ToString().TrimEnd())? ExcelUtil.GetCell(sheet, i, j).ToString().TrimEnd().ToUpper():"";j++;//</v>
      </c>
      <c r="Q82" s="1" t="str">
        <f t="shared" si="27"/>
        <v>ExcelUtil.SetContent(sheet, row, column++, (string)item[""]);</v>
      </c>
      <c r="R82" s="1" t="str">
        <f t="shared" si="28"/>
        <v>paramDt.Add("@" ,  );//VARCHAR</v>
      </c>
      <c r="S82" s="1" t="str">
        <f t="shared" si="29"/>
        <v>paramDt.Add("@" , master. );//</v>
      </c>
      <c r="T82" s="1" t="str">
        <f t="shared" si="18"/>
        <v>{ name: '' , sort: '' },</v>
      </c>
      <c r="U82" s="1" t="str">
        <f t="shared" si="30"/>
        <v>"":"",</v>
      </c>
      <c r="V82" s="1" t="str">
        <f t="shared" si="31"/>
        <v>this.vo. = '' ; //</v>
      </c>
    </row>
    <row r="83" spans="1:22" x14ac:dyDescent="0.4">
      <c r="A83" s="1" t="s">
        <v>88</v>
      </c>
      <c r="D83" s="1" t="s">
        <v>5</v>
      </c>
      <c r="I83" s="1" t="str">
        <f t="shared" si="19"/>
        <v xml:space="preserve">///&lt;summary&gt;
///
///&lt;/summary&gt;
public   {get; set;}
</v>
      </c>
      <c r="J83" s="1" t="str">
        <f t="shared" si="20"/>
        <v xml:space="preserve"> AND t1. = @</v>
      </c>
      <c r="K83" s="1" t="str">
        <f t="shared" si="21"/>
        <v>t1.        AS ,</v>
      </c>
      <c r="L83" s="1" t="str">
        <f t="shared" si="22"/>
        <v>,</v>
      </c>
      <c r="M83" s="1" t="str">
        <f t="shared" si="23"/>
        <v>,@</v>
      </c>
      <c r="N83" s="1" t="str">
        <f t="shared" si="24"/>
        <v xml:space="preserve"> = @, </v>
      </c>
      <c r="O83" s="1" t="str">
        <f t="shared" si="25"/>
        <v>error += ExcelUtil.CheckValue(excelVo. , "", false, (null, null, ), (true, false, false), (false, false));</v>
      </c>
      <c r="P83" s="1" t="str">
        <f t="shared" si="26"/>
        <v>excelVo. = StringUtil.IsNotEmpty(ExcelUtil.GetCell(sheet, i, j).ToString().TrimEnd())? ExcelUtil.GetCell(sheet, i, j).ToString().TrimEnd().ToUpper():"";j++;//</v>
      </c>
      <c r="Q83" s="1" t="str">
        <f t="shared" si="27"/>
        <v>ExcelUtil.SetContent(sheet, row, column++, (string)item[""]);</v>
      </c>
      <c r="R83" s="1" t="str">
        <f t="shared" si="28"/>
        <v>paramDt.Add("@" ,  );//VARCHAR</v>
      </c>
      <c r="S83" s="1" t="str">
        <f t="shared" si="29"/>
        <v>paramDt.Add("@" , master. );//</v>
      </c>
      <c r="T83" s="1" t="str">
        <f t="shared" si="18"/>
        <v>{ name: '' , sort: '' },</v>
      </c>
      <c r="U83" s="1" t="str">
        <f t="shared" si="30"/>
        <v>"":"",</v>
      </c>
      <c r="V83" s="1" t="str">
        <f t="shared" si="31"/>
        <v>this.vo. = '' ; //</v>
      </c>
    </row>
    <row r="84" spans="1:22" x14ac:dyDescent="0.4">
      <c r="A84" s="1" t="s">
        <v>88</v>
      </c>
      <c r="D84" s="1" t="s">
        <v>5</v>
      </c>
      <c r="I84" s="1" t="str">
        <f t="shared" si="19"/>
        <v xml:space="preserve">///&lt;summary&gt;
///
///&lt;/summary&gt;
public   {get; set;}
</v>
      </c>
      <c r="J84" s="1" t="str">
        <f t="shared" si="20"/>
        <v xml:space="preserve"> AND t1. = @</v>
      </c>
      <c r="K84" s="1" t="str">
        <f t="shared" si="21"/>
        <v>t1.        AS ,</v>
      </c>
      <c r="L84" s="1" t="str">
        <f t="shared" si="22"/>
        <v>,</v>
      </c>
      <c r="M84" s="1" t="str">
        <f t="shared" si="23"/>
        <v>,@</v>
      </c>
      <c r="N84" s="1" t="str">
        <f t="shared" si="24"/>
        <v xml:space="preserve"> = @, </v>
      </c>
      <c r="O84" s="1" t="str">
        <f t="shared" si="25"/>
        <v>error += ExcelUtil.CheckValue(excelVo. , "", false, (null, null, ), (true, false, false), (false, false));</v>
      </c>
      <c r="P84" s="1" t="str">
        <f t="shared" si="26"/>
        <v>excelVo. = StringUtil.IsNotEmpty(ExcelUtil.GetCell(sheet, i, j).ToString().TrimEnd())? ExcelUtil.GetCell(sheet, i, j).ToString().TrimEnd().ToUpper():"";j++;//</v>
      </c>
      <c r="Q84" s="1" t="str">
        <f t="shared" si="27"/>
        <v>ExcelUtil.SetContent(sheet, row, column++, (string)item[""]);</v>
      </c>
      <c r="R84" s="1" t="str">
        <f t="shared" si="28"/>
        <v>paramDt.Add("@" ,  );//VARCHAR</v>
      </c>
      <c r="S84" s="1" t="str">
        <f t="shared" si="29"/>
        <v>paramDt.Add("@" , master. );//</v>
      </c>
      <c r="T84" s="1" t="str">
        <f t="shared" si="18"/>
        <v>{ name: '' , sort: '' },</v>
      </c>
      <c r="U84" s="1" t="str">
        <f t="shared" si="30"/>
        <v>"":"",</v>
      </c>
      <c r="V84" s="1" t="str">
        <f t="shared" si="31"/>
        <v>this.vo. = '' ; //</v>
      </c>
    </row>
    <row r="85" spans="1:22" x14ac:dyDescent="0.4">
      <c r="A85" s="1" t="s">
        <v>88</v>
      </c>
      <c r="D85" s="1" t="s">
        <v>5</v>
      </c>
      <c r="I85" s="1" t="str">
        <f t="shared" si="19"/>
        <v xml:space="preserve">///&lt;summary&gt;
///
///&lt;/summary&gt;
public   {get; set;}
</v>
      </c>
      <c r="J85" s="1" t="str">
        <f t="shared" si="20"/>
        <v xml:space="preserve"> AND t1. = @</v>
      </c>
      <c r="K85" s="1" t="str">
        <f t="shared" si="21"/>
        <v>t1.        AS ,</v>
      </c>
      <c r="L85" s="1" t="str">
        <f t="shared" si="22"/>
        <v>,</v>
      </c>
      <c r="M85" s="1" t="str">
        <f t="shared" si="23"/>
        <v>,@</v>
      </c>
      <c r="N85" s="1" t="str">
        <f t="shared" si="24"/>
        <v xml:space="preserve"> = @, </v>
      </c>
      <c r="O85" s="1" t="str">
        <f t="shared" si="25"/>
        <v>error += ExcelUtil.CheckValue(excelVo. , "", false, (null, null, ), (true, false, false), (false, false));</v>
      </c>
      <c r="P85" s="1" t="str">
        <f t="shared" si="26"/>
        <v>excelVo. = StringUtil.IsNotEmpty(ExcelUtil.GetCell(sheet, i, j).ToString().TrimEnd())? ExcelUtil.GetCell(sheet, i, j).ToString().TrimEnd().ToUpper():"";j++;//</v>
      </c>
      <c r="Q85" s="1" t="str">
        <f t="shared" si="27"/>
        <v>ExcelUtil.SetContent(sheet, row, column++, (string)item[""]);</v>
      </c>
      <c r="R85" s="1" t="str">
        <f t="shared" si="28"/>
        <v>paramDt.Add("@" ,  );//VARCHAR</v>
      </c>
      <c r="S85" s="1" t="str">
        <f t="shared" si="29"/>
        <v>paramDt.Add("@" , master. );//</v>
      </c>
      <c r="T85" s="1" t="str">
        <f t="shared" si="18"/>
        <v>{ name: '' , sort: '' },</v>
      </c>
      <c r="U85" s="1" t="str">
        <f t="shared" si="30"/>
        <v>"":"",</v>
      </c>
      <c r="V85" s="1" t="str">
        <f t="shared" si="31"/>
        <v>this.vo. = '' ; //</v>
      </c>
    </row>
    <row r="86" spans="1:22" x14ac:dyDescent="0.4">
      <c r="A86" s="1" t="s">
        <v>88</v>
      </c>
      <c r="D86" s="1" t="s">
        <v>5</v>
      </c>
      <c r="I86" s="1" t="str">
        <f t="shared" si="19"/>
        <v xml:space="preserve">///&lt;summary&gt;
///
///&lt;/summary&gt;
public   {get; set;}
</v>
      </c>
      <c r="J86" s="1" t="str">
        <f t="shared" si="20"/>
        <v xml:space="preserve"> AND t1. = @</v>
      </c>
      <c r="K86" s="1" t="str">
        <f t="shared" si="21"/>
        <v>t1.        AS ,</v>
      </c>
      <c r="L86" s="1" t="str">
        <f t="shared" si="22"/>
        <v>,</v>
      </c>
      <c r="M86" s="1" t="str">
        <f t="shared" si="23"/>
        <v>,@</v>
      </c>
      <c r="N86" s="1" t="str">
        <f t="shared" si="24"/>
        <v xml:space="preserve"> = @, </v>
      </c>
      <c r="O86" s="1" t="str">
        <f t="shared" si="25"/>
        <v>error += ExcelUtil.CheckValue(excelVo. , "", false, (null, null, ), (true, false, false), (false, false));</v>
      </c>
      <c r="P86" s="1" t="str">
        <f t="shared" si="26"/>
        <v>excelVo. = StringUtil.IsNotEmpty(ExcelUtil.GetCell(sheet, i, j).ToString().TrimEnd())? ExcelUtil.GetCell(sheet, i, j).ToString().TrimEnd().ToUpper():"";j++;//</v>
      </c>
      <c r="Q86" s="1" t="str">
        <f t="shared" si="27"/>
        <v>ExcelUtil.SetContent(sheet, row, column++, (string)item[""]);</v>
      </c>
      <c r="R86" s="1" t="str">
        <f t="shared" si="28"/>
        <v>paramDt.Add("@" ,  );//VARCHAR</v>
      </c>
      <c r="S86" s="1" t="str">
        <f t="shared" si="29"/>
        <v>paramDt.Add("@" , master. );//</v>
      </c>
      <c r="T86" s="1" t="str">
        <f t="shared" si="18"/>
        <v>{ name: '' , sort: '' },</v>
      </c>
      <c r="U86" s="1" t="str">
        <f t="shared" si="30"/>
        <v>"":"",</v>
      </c>
      <c r="V86" s="1" t="str">
        <f t="shared" si="31"/>
        <v>this.vo. = '' ; //</v>
      </c>
    </row>
    <row r="87" spans="1:22" x14ac:dyDescent="0.4">
      <c r="A87" s="1" t="s">
        <v>88</v>
      </c>
      <c r="D87" s="1" t="s">
        <v>5</v>
      </c>
      <c r="I87" s="1" t="str">
        <f t="shared" si="19"/>
        <v xml:space="preserve">///&lt;summary&gt;
///
///&lt;/summary&gt;
public   {get; set;}
</v>
      </c>
      <c r="J87" s="1" t="str">
        <f t="shared" si="20"/>
        <v xml:space="preserve"> AND t1. = @</v>
      </c>
      <c r="K87" s="1" t="str">
        <f t="shared" si="21"/>
        <v>t1.        AS ,</v>
      </c>
      <c r="L87" s="1" t="str">
        <f t="shared" si="22"/>
        <v>,</v>
      </c>
      <c r="M87" s="1" t="str">
        <f t="shared" si="23"/>
        <v>,@</v>
      </c>
      <c r="N87" s="1" t="str">
        <f t="shared" si="24"/>
        <v xml:space="preserve"> = @, </v>
      </c>
      <c r="O87" s="1" t="str">
        <f t="shared" si="25"/>
        <v>error += ExcelUtil.CheckValue(excelVo. , "", false, (null, null, ), (true, false, false), (false, false));</v>
      </c>
      <c r="P87" s="1" t="str">
        <f t="shared" si="26"/>
        <v>excelVo. = StringUtil.IsNotEmpty(ExcelUtil.GetCell(sheet, i, j).ToString().TrimEnd())? ExcelUtil.GetCell(sheet, i, j).ToString().TrimEnd().ToUpper():"";j++;//</v>
      </c>
      <c r="Q87" s="1" t="str">
        <f t="shared" si="27"/>
        <v>ExcelUtil.SetContent(sheet, row, column++, (string)item[""]);</v>
      </c>
      <c r="R87" s="1" t="str">
        <f t="shared" si="28"/>
        <v>paramDt.Add("@" ,  );//VARCHAR</v>
      </c>
      <c r="S87" s="1" t="str">
        <f t="shared" si="29"/>
        <v>paramDt.Add("@" , master. );//</v>
      </c>
      <c r="T87" s="1" t="str">
        <f t="shared" si="18"/>
        <v>{ name: '' , sort: '' },</v>
      </c>
      <c r="U87" s="1" t="str">
        <f t="shared" si="30"/>
        <v>"":"",</v>
      </c>
      <c r="V87" s="1" t="str">
        <f t="shared" si="31"/>
        <v>this.vo. = '' ; //</v>
      </c>
    </row>
    <row r="88" spans="1:22" x14ac:dyDescent="0.4">
      <c r="A88" s="1" t="s">
        <v>88</v>
      </c>
      <c r="D88" s="1" t="s">
        <v>5</v>
      </c>
      <c r="I88" s="1" t="str">
        <f t="shared" si="19"/>
        <v xml:space="preserve">///&lt;summary&gt;
///
///&lt;/summary&gt;
public   {get; set;}
</v>
      </c>
      <c r="J88" s="1" t="str">
        <f t="shared" si="20"/>
        <v xml:space="preserve"> AND t1. = @</v>
      </c>
      <c r="K88" s="1" t="str">
        <f t="shared" si="21"/>
        <v>t1.        AS ,</v>
      </c>
      <c r="L88" s="1" t="str">
        <f t="shared" si="22"/>
        <v>,</v>
      </c>
      <c r="M88" s="1" t="str">
        <f t="shared" si="23"/>
        <v>,@</v>
      </c>
      <c r="N88" s="1" t="str">
        <f t="shared" si="24"/>
        <v xml:space="preserve"> = @, </v>
      </c>
      <c r="O88" s="1" t="str">
        <f t="shared" si="25"/>
        <v>error += ExcelUtil.CheckValue(excelVo. , "", false, (null, null, ), (true, false, false), (false, false));</v>
      </c>
      <c r="P88" s="1" t="str">
        <f t="shared" si="26"/>
        <v>excelVo. = StringUtil.IsNotEmpty(ExcelUtil.GetCell(sheet, i, j).ToString().TrimEnd())? ExcelUtil.GetCell(sheet, i, j).ToString().TrimEnd().ToUpper():"";j++;//</v>
      </c>
      <c r="Q88" s="1" t="str">
        <f t="shared" si="27"/>
        <v>ExcelUtil.SetContent(sheet, row, column++, (string)item[""]);</v>
      </c>
      <c r="R88" s="1" t="str">
        <f t="shared" si="28"/>
        <v>paramDt.Add("@" ,  );//VARCHAR</v>
      </c>
      <c r="S88" s="1" t="str">
        <f t="shared" si="29"/>
        <v>paramDt.Add("@" , master. );//</v>
      </c>
      <c r="T88" s="1" t="str">
        <f t="shared" si="18"/>
        <v>{ name: '' , sort: '' },</v>
      </c>
      <c r="U88" s="1" t="str">
        <f t="shared" si="30"/>
        <v>"":"",</v>
      </c>
      <c r="V88" s="1" t="str">
        <f t="shared" si="31"/>
        <v>this.vo. = '' ; //</v>
      </c>
    </row>
    <row r="89" spans="1:22" x14ac:dyDescent="0.4">
      <c r="A89" s="1" t="s">
        <v>88</v>
      </c>
      <c r="D89" s="1" t="s">
        <v>6</v>
      </c>
    </row>
    <row r="90" spans="1:22" x14ac:dyDescent="0.4">
      <c r="A90" s="1" t="s">
        <v>88</v>
      </c>
      <c r="D90" s="1" t="s">
        <v>5</v>
      </c>
    </row>
    <row r="91" spans="1:22" x14ac:dyDescent="0.4">
      <c r="A91" s="1" t="s">
        <v>88</v>
      </c>
      <c r="D91" s="1" t="s">
        <v>6</v>
      </c>
    </row>
    <row r="92" spans="1:22" x14ac:dyDescent="0.4">
      <c r="A92" s="1" t="s">
        <v>88</v>
      </c>
      <c r="D92" s="1" t="s">
        <v>5</v>
      </c>
    </row>
    <row r="93" spans="1:22" x14ac:dyDescent="0.4">
      <c r="A93" s="1" t="s">
        <v>88</v>
      </c>
      <c r="D93" s="1" t="s">
        <v>5</v>
      </c>
    </row>
    <row r="94" spans="1:22" x14ac:dyDescent="0.4">
      <c r="D94" s="1" t="s">
        <v>5</v>
      </c>
    </row>
    <row r="95" spans="1:22" x14ac:dyDescent="0.4">
      <c r="D95" s="1" t="s">
        <v>5</v>
      </c>
    </row>
    <row r="96" spans="1:22" x14ac:dyDescent="0.4">
      <c r="D96" s="1" t="s">
        <v>5</v>
      </c>
    </row>
    <row r="97" spans="4:4" x14ac:dyDescent="0.4">
      <c r="D97" s="1" t="s">
        <v>9</v>
      </c>
    </row>
    <row r="98" spans="4:4" x14ac:dyDescent="0.4">
      <c r="D98" s="1" t="s">
        <v>5</v>
      </c>
    </row>
    <row r="99" spans="4:4" x14ac:dyDescent="0.4">
      <c r="D99" s="1" t="s">
        <v>9</v>
      </c>
    </row>
    <row r="100" spans="4:4" x14ac:dyDescent="0.4">
      <c r="D100" s="1" t="s">
        <v>5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BD12-1673-443F-84E3-B145F6E9501F}">
  <dimension ref="A1:AF100"/>
  <sheetViews>
    <sheetView zoomScaleNormal="100" workbookViewId="0">
      <selection activeCell="K5" sqref="K5:K19"/>
    </sheetView>
  </sheetViews>
  <sheetFormatPr defaultColWidth="11.453125" defaultRowHeight="13.5" x14ac:dyDescent="0.4"/>
  <cols>
    <col min="1" max="1" width="13.453125" style="1" customWidth="1"/>
    <col min="2" max="2" width="11.453125" style="1"/>
    <col min="3" max="3" width="18.90625" style="1" customWidth="1"/>
    <col min="4" max="4" width="11.453125" style="1"/>
    <col min="5" max="5" width="9" style="1" customWidth="1"/>
    <col min="6" max="8" width="11.453125" style="1"/>
    <col min="9" max="9" width="21.08984375" style="1" customWidth="1"/>
    <col min="10" max="13" width="11.453125" style="1"/>
    <col min="14" max="15" width="9.36328125" style="1" customWidth="1"/>
    <col min="16" max="16" width="16" style="1" customWidth="1"/>
    <col min="17" max="17" width="11.453125" style="1"/>
    <col min="18" max="18" width="28" style="1" customWidth="1"/>
    <col min="19" max="19" width="30.54296875" style="1" customWidth="1"/>
    <col min="20" max="20" width="35.08984375" style="1" customWidth="1"/>
    <col min="21" max="16384" width="11.453125" style="1"/>
  </cols>
  <sheetData>
    <row r="1" spans="1:32" x14ac:dyDescent="0.4">
      <c r="G1" s="1" t="s">
        <v>18</v>
      </c>
    </row>
    <row r="2" spans="1:32" x14ac:dyDescent="0.4">
      <c r="G2" s="1" t="s">
        <v>17</v>
      </c>
      <c r="H2" s="1" t="e">
        <f>" AND t1."&amp;B5&amp;" = "&amp;"@"&amp;B5&amp;CHAR(10)&amp;" AND t1."&amp;B6&amp;" = "&amp;"@"&amp;B6&amp;CHAR(10)&amp;" AND t1."&amp;B7&amp;" = "&amp;"@"&amp;B7&amp;CHAR(10)&amp;" AND t1."&amp;B8&amp;" = "&amp;"@"&amp;B8&amp;CHAR(10)&amp;" AND t1."&amp;B9&amp;" = "&amp;"@"&amp;B9&amp;CHAR(10)&amp;" AND t1."&amp;B10&amp;" = "&amp;"@"&amp;B10&amp;CHAR(10)&amp;" AND t1."&amp;B11&amp;" = "&amp;"@"&amp;B11&amp;CHAR(10)&amp;
" AND t1."&amp;B12&amp;" = "&amp;"@"&amp;B12&amp;CHAR(10)&amp;" AND t1."&amp;B13&amp;" = "&amp;"@"&amp;B13&amp;CHAR(10)&amp;" AND t1."&amp;B14&amp;" = "&amp;"@"&amp;B14&amp;CHAR(10)&amp;" AND t1."&amp;B15&amp;" = "&amp;"@"&amp;B15&amp;CHAR(10)&amp;" AND t1."&amp;B16&amp;" = "&amp;"@"&amp;B16&amp;CHAR(10)&amp;
" AND t1."&amp;B17&amp;" = "&amp;"@"&amp;B17&amp;CHAR(10)&amp;" AND t1."&amp;B18&amp;" = "&amp;"@"&amp;B18&amp;CHAR(10)&amp;" AND t1."&amp;B19&amp;" = "&amp;"@"&amp;B19&amp;CHAR(10)&amp;" AND t1."&amp;B20&amp;" = "&amp;"@"&amp;B20&amp;CHAR(10)&amp;" AND t1."&amp;B21&amp;" = "&amp;"@"&amp;B21&amp;CHAR(10)&amp;
" AND t1."&amp;B22&amp;" = "&amp;"@"&amp;B22&amp;CHAR(10)&amp;" AND t1."&amp;B23&amp;" = "&amp;"@"&amp;B23&amp;CHAR(10)&amp;" AND t1."&amp;B24&amp;" = "&amp;"@"&amp;B24&amp;CHAR(10)&amp;"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t1."&amp;#REF!&amp;" = "&amp;"@"&amp;#REF!&amp;CHAR(10)&amp;" AND t1."&amp;#REF!&amp;" = "&amp;"@"&amp;#REF!&amp;CHAR(10)&amp;" AND t1."&amp;#REF!&amp;" = "&amp;"@"&amp;#REF!&amp;CHAR(10)&amp;
" AND t1."&amp;#REF!&amp;" = "&amp;"@"&amp;#REF!&amp;CHAR(10)&amp;" AND t1."&amp;#REF!&amp;" = "&amp;"@"&amp;#REF!&amp;CHAR(10)&amp;" AND t1."&amp;B25&amp;" = "&amp;"@"&amp;B25&amp;CHAR(10)&amp;" AND t1."&amp;B26&amp;" = "&amp;"@"&amp;B26&amp;CHAR(10)&amp;" AND t1."&amp;B27&amp;" = "&amp;"@"&amp;B27&amp;CHAR(10)&amp;
" AND t1."&amp;B28&amp;" = "&amp;"@"&amp;B28&amp;CHAR(10)&amp;" AND t1."&amp;B29&amp;" = "&amp;"@"&amp;B29&amp;CHAR(10)&amp;" AND t1."&amp;B30&amp;" = "&amp;"@"&amp;B30&amp;CHAR(10)&amp;" AND t1."&amp;B31&amp;" = "&amp;"@"&amp;B31&amp;CHAR(10)&amp;" AND t1."&amp;B32&amp;" = "&amp;"@"&amp;B32&amp;CHAR(10)&amp;
" AND t1."&amp;B33&amp;" = "&amp;"@"&amp;B33&amp;CHAR(10)&amp;" AND t1."&amp;B34&amp;" = "&amp;"@"&amp;B34&amp;CHAR(10)&amp;" AND t1."&amp;B35&amp;" = "&amp;"@"&amp;B35&amp;CHAR(10)&amp;" AND t1."&amp;B36&amp;" = "&amp;"@"&amp;B36&amp;CHAR(10)&amp;" AND t1."&amp;B37&amp;" = "&amp;"@"&amp;B37&amp;CHAR(10)&amp;
" AND t1."&amp;B38&amp;" = "&amp;"@"&amp;B38&amp;CHAR(10)&amp;" AND t1."&amp;B39&amp;" = "&amp;"@"&amp;B39&amp;CHAR(10)&amp;" AND t1."&amp;B40&amp;" = "&amp;"@"&amp;B40&amp;CHAR(10)&amp;" AND t1."&amp;B41&amp;" = "&amp;"@"&amp;B41&amp;CHAR(10)&amp;" AND t1."&amp;B42&amp;" = "&amp;"@"&amp;B42&amp;CHAR(10)&amp;
" AND t1."&amp;B43&amp;" = "&amp;"@"&amp;B43&amp;CHAR(10)&amp;" AND t1."&amp;B44&amp;" = "&amp;"@"&amp;B44&amp;CHAR(10)&amp;" AND t1."&amp;B45&amp;" = "&amp;"@"&amp;B45&amp;CHAR(10)&amp;" AND t1."&amp;B46&amp;" = "&amp;"@"&amp;B46&amp;CHAR(10)&amp;" AND t1."&amp;B47&amp;" = "&amp;"@"&amp;B47&amp;CHAR(10)&amp;
" AND t1."&amp;B48&amp;" = "&amp;"@"&amp;B48&amp;CHAR(10)&amp;" AND t1."&amp;B49&amp;" = "&amp;"@"&amp;B49&amp;CHAR(10)&amp;" AND t1."&amp;B50&amp;" = "&amp;"@"&amp;B50&amp;CHAR(10)&amp;" AND t1."&amp;B51&amp;" = "&amp;"@"&amp;B51&amp;CHAR(10)&amp;" AND t1."&amp;B52&amp;" = "&amp;"@"&amp;B52&amp;CHAR(10)</f>
        <v>#REF!</v>
      </c>
    </row>
    <row r="4" spans="1:32" x14ac:dyDescent="0.4">
      <c r="A4" s="2"/>
      <c r="B4" s="2"/>
      <c r="C4" s="2"/>
      <c r="D4" s="2"/>
      <c r="E4" s="2"/>
      <c r="F4" s="2" t="s">
        <v>15</v>
      </c>
      <c r="G4" s="2" t="s">
        <v>23</v>
      </c>
      <c r="H4" s="2" t="s">
        <v>13</v>
      </c>
      <c r="I4" s="2" t="s">
        <v>14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28</v>
      </c>
      <c r="P4" s="2" t="s">
        <v>27</v>
      </c>
      <c r="Q4" s="2" t="s">
        <v>29</v>
      </c>
      <c r="R4" s="2" t="s">
        <v>16</v>
      </c>
      <c r="S4" s="2" t="s">
        <v>22</v>
      </c>
      <c r="T4" s="3" t="s">
        <v>24</v>
      </c>
      <c r="U4" s="3" t="s">
        <v>25</v>
      </c>
      <c r="V4" s="3" t="s">
        <v>26</v>
      </c>
      <c r="W4" s="3"/>
      <c r="X4" s="3"/>
      <c r="Y4" s="3"/>
      <c r="Z4" s="3"/>
      <c r="AA4" s="3"/>
      <c r="AB4" s="2"/>
      <c r="AC4" s="2"/>
      <c r="AD4" s="2"/>
      <c r="AE4" s="2"/>
      <c r="AF4" s="2"/>
    </row>
    <row r="5" spans="1:32" ht="14.5" x14ac:dyDescent="0.4">
      <c r="A5" s="1" t="s">
        <v>106</v>
      </c>
      <c r="B5" s="1" t="s">
        <v>32</v>
      </c>
      <c r="C5" s="1" t="s">
        <v>38</v>
      </c>
      <c r="D5" s="1" t="s">
        <v>5</v>
      </c>
      <c r="E5" s="4">
        <v>1</v>
      </c>
      <c r="F5" s="1" t="str">
        <f>IF(G5&lt;&gt;"",LOWER(LEFT(G5,1))&amp;RIGHT(G5,LEN(G5)-1),"")</f>
        <v>plantCd</v>
      </c>
      <c r="G5" s="1" t="str">
        <f t="shared" ref="G5:G29" si="0">SUBSTITUTE(PROPER(SUBSTITUTE(LOWER(B5),"_"," "))," ","")</f>
        <v>PlantCd</v>
      </c>
      <c r="H5" s="1" t="str">
        <f t="shared" ref="H5:H10" si="1">IF(D5="VARCHAR","string",IF(D5="DECIMAL","decimal?",IF(D5="DATETIME","DateTime?",IF(D5="INT","int","string"))))</f>
        <v>string</v>
      </c>
      <c r="I5" s="1" t="str">
        <f>"///&lt;summary&gt;"&amp;CHAR(10)&amp;"///"&amp;TRIM(C5)&amp;CHAR(10)&amp;"///&lt;/summary&gt;"&amp;CHAR(10)&amp;"public "&amp;H5&amp;" " &amp;TRIM(G5)&amp;" {get; set;}"&amp;CHAR(10)</f>
        <v xml:space="preserve">///&lt;summary&gt;
///工廠區分
///&lt;/summary&gt;
public string PlantCd {get; set;}
</v>
      </c>
      <c r="J5" s="1" t="str">
        <f t="shared" ref="J5:J68" si="2">" AND t1."&amp;B5&amp;" = "&amp;"@"&amp;B5</f>
        <v xml:space="preserve"> AND t1.PLANT_CD = @PLANT_CD</v>
      </c>
      <c r="K5" s="1" t="str">
        <f t="shared" ref="K5:K68" si="3">"t1."&amp;B5&amp;"        "&amp;"AS "&amp;G5&amp;","</f>
        <v>t1.PLANT_CD        AS PlantCd,</v>
      </c>
      <c r="L5" s="1" t="str">
        <f t="shared" ref="L5:L68" si="4">","&amp; B5</f>
        <v>,PLANT_CD</v>
      </c>
      <c r="M5" s="1" t="str">
        <f t="shared" ref="M5:M68" si="5">",@"&amp;B5</f>
        <v>,@PLANT_CD</v>
      </c>
      <c r="N5" s="1" t="str">
        <f t="shared" ref="N5:N68" si="6">B5&amp;" = "&amp;"@"&amp;B5&amp;", "</f>
        <v xml:space="preserve">PLANT_CD = @PLANT_CD, </v>
      </c>
      <c r="O5" s="1" t="str">
        <f>"error += ExcelUtil.CheckValue("&amp; IF(LOWER(D5)="decimal","excelVo."&amp;G5&amp;".ToString() ","excelVo."&amp;G5)  &amp;" , "&amp; """" &amp; TRIM(C5)&amp;""""&amp;", false, (null, null, "&amp;E5&amp;"), ("&amp;IF(LOWER(D5)="decimal","false","true")&amp;", false, "&amp;IF(LOWER(D5)="decimal","true","false")&amp;"), (false, false));"</f>
        <v>error += ExcelUtil.CheckValue(excelVo.PlantCd , "工廠區分", false, (null, null, 1), (true, false, false), (false, false));</v>
      </c>
      <c r="P5" s="1" t="str">
        <f>"excelVo."&amp; G5&amp; " = StringUtil.IsNotEmpty(ExcelUtil.GetCell(sheet, i, j).ToString().TrimEnd())? ExcelUtil.GetCell(sheet, i, j).ToString().TrimEnd().ToUpper():"&amp; """" &amp; """" &amp;";j++;" &amp;"//"&amp;C5</f>
        <v>excelVo.PlantCd = StringUtil.IsNotEmpty(ExcelUtil.GetCell(sheet, i, j).ToString().TrimEnd())? ExcelUtil.GetCell(sheet, i, j).ToString().TrimEnd().ToUpper():"";j++;//工廠區分</v>
      </c>
      <c r="Q5" s="1" t="str">
        <f>"ExcelUtil.SetContent(sheet, row, column++, (string)item["&amp;""""&amp;F5 &amp;""""&amp;"]);"</f>
        <v>ExcelUtil.SetContent(sheet, row, column++, (string)item["plantCd"]);</v>
      </c>
      <c r="R5" s="1" t="str">
        <f>"paramDt.Add("&amp; """" &amp;"@"&amp; B5&amp; """" &amp;" , "&amp; G5 &amp;" );//"&amp;D5</f>
        <v>paramDt.Add("@PLANT_CD" , PlantCd );//VARCHAR</v>
      </c>
      <c r="S5" s="1" t="str">
        <f>"paramDt.Add("&amp; """" &amp;"@"&amp; B5&amp; """" &amp;" , master."&amp; G5 &amp;" );//"&amp;C5</f>
        <v>paramDt.Add("@PLANT_CD" , master.PlantCd );//工廠區分</v>
      </c>
      <c r="T5" s="1" t="str">
        <f>"{ name: '"&amp;F5&amp;"' , sort: '"&amp;B5&amp;"' },"</f>
        <v>{ name: 'plantCd' , sort: 'PLANT_CD' },</v>
      </c>
      <c r="U5" s="1" t="str">
        <f>""""&amp;F5&amp;""""&amp;":"&amp;""""&amp;TRIM(C5)&amp;""""&amp;","</f>
        <v>"plantCd":"工廠區分",</v>
      </c>
      <c r="V5" s="1" t="str">
        <f>IF(LOWER(D5)="decimal","this.vo."&amp;F5&amp;" = "&amp;0,"this.vo."&amp;F5&amp;" = ''")&amp;" ; //"&amp;TRIM(C5)</f>
        <v>this.vo.plantCd = '' ; //工廠區分</v>
      </c>
    </row>
    <row r="6" spans="1:32" ht="14.5" x14ac:dyDescent="0.4">
      <c r="A6" s="1" t="s">
        <v>106</v>
      </c>
      <c r="B6" s="1" t="s">
        <v>87</v>
      </c>
      <c r="C6" s="1" t="s">
        <v>76</v>
      </c>
      <c r="D6" s="1" t="s">
        <v>5</v>
      </c>
      <c r="E6" s="5">
        <v>8</v>
      </c>
      <c r="F6" s="1" t="str">
        <f t="shared" ref="F6:F29" si="7">IF(G6&lt;&gt;"",LOWER(LEFT(G6,1))&amp;RIGHT(G6,LEN(G6)-1),"")</f>
        <v>wkDt</v>
      </c>
      <c r="G6" s="1" t="str">
        <f t="shared" si="0"/>
        <v>WkDt</v>
      </c>
      <c r="H6" s="1" t="str">
        <f t="shared" si="1"/>
        <v>string</v>
      </c>
      <c r="I6" s="1" t="str">
        <f t="shared" ref="I6:I58" si="8">"///&lt;summary&gt;"&amp;CHAR(10)&amp;"///"&amp;TRIM(C6)&amp;CHAR(10)&amp;"///&lt;/summary&gt;"&amp;CHAR(10)&amp;"public "&amp;H6&amp;" " &amp;TRIM(G6)&amp;" {get; set;}"&amp;CHAR(10)</f>
        <v xml:space="preserve">///&lt;summary&gt;
///日期
///&lt;/summary&gt;
public string WkDt {get; set;}
</v>
      </c>
      <c r="J6" s="1" t="str">
        <f t="shared" si="2"/>
        <v xml:space="preserve"> AND t1.WK_DT = @WK_DT</v>
      </c>
      <c r="K6" s="1" t="str">
        <f t="shared" si="3"/>
        <v>t1.WK_DT        AS WkDt,</v>
      </c>
      <c r="L6" s="1" t="str">
        <f t="shared" si="4"/>
        <v>,WK_DT</v>
      </c>
      <c r="M6" s="1" t="str">
        <f t="shared" si="5"/>
        <v>,@WK_DT</v>
      </c>
      <c r="N6" s="1" t="str">
        <f t="shared" si="6"/>
        <v xml:space="preserve">WK_DT = @WK_DT, </v>
      </c>
      <c r="O6" s="1" t="str">
        <f t="shared" ref="O6:O69" si="9">"error += ExcelUtil.CheckValue("&amp; IF(LOWER(D6)="decimal","excelVo."&amp;G6&amp;".ToString() ","excelVo."&amp;G6)  &amp;" , "&amp; """" &amp; TRIM(C6)&amp;""""&amp;", false, (null, null, "&amp;E6&amp;"), ("&amp;IF(LOWER(D6)="decimal","false","true")&amp;", false, "&amp;IF(LOWER(D6)="decimal","true","false")&amp;"), (false, false));"</f>
        <v>error += ExcelUtil.CheckValue(excelVo.WkDt , "日期", false, (null, null, 8), (true, false, false), (false, false));</v>
      </c>
      <c r="P6" s="1" t="str">
        <f t="shared" ref="P6:P69" si="10">"excelVo."&amp; G6&amp; " = StringUtil.IsNotEmpty(ExcelUtil.GetCell(sheet, i, j).ToString().TrimEnd())? ExcelUtil.GetCell(sheet, i, j).ToString().TrimEnd().ToUpper():"&amp; """" &amp; """" &amp;";j++;" &amp;"//"&amp;C6</f>
        <v>excelVo.WkDt = StringUtil.IsNotEmpty(ExcelUtil.GetCell(sheet, i, j).ToString().TrimEnd())? ExcelUtil.GetCell(sheet, i, j).ToString().TrimEnd().ToUpper():"";j++;//日期</v>
      </c>
      <c r="Q6" s="1" t="str">
        <f t="shared" ref="Q6:Q69" si="11">"ExcelUtil.SetContent(sheet, row, column++, (string)item["&amp;""""&amp;F6 &amp;""""&amp;"]);"</f>
        <v>ExcelUtil.SetContent(sheet, row, column++, (string)item["wkDt"]);</v>
      </c>
      <c r="R6" s="1" t="str">
        <f t="shared" ref="R6:R69" si="12">"paramDt.Add("&amp; """" &amp;"@"&amp; B6&amp; """" &amp;" , "&amp; G6 &amp;" );//"&amp;D6</f>
        <v>paramDt.Add("@WK_DT" , WkDt );//VARCHAR</v>
      </c>
      <c r="S6" s="1" t="str">
        <f t="shared" ref="S6:S69" si="13">"paramDt.Add("&amp; """" &amp;"@"&amp; B6&amp; """" &amp;" , master."&amp; G6 &amp;" );//"&amp;C6</f>
        <v>paramDt.Add("@WK_DT" , master.WkDt );//日期</v>
      </c>
      <c r="T6" s="1" t="str">
        <f t="shared" ref="T6:T29" si="14">"{ name: '"&amp;F6&amp;"' , sort: '"&amp;B6&amp;"' },"</f>
        <v>{ name: 'wkDt' , sort: 'WK_DT' },</v>
      </c>
      <c r="U6" s="1" t="str">
        <f t="shared" ref="U6:U69" si="15">""""&amp;F6&amp;""""&amp;":"&amp;""""&amp;TRIM(C6)&amp;""""&amp;","</f>
        <v>"wkDt":"日期",</v>
      </c>
      <c r="V6" s="1" t="str">
        <f t="shared" ref="V6:V69" si="16">IF(LOWER(D6)="decimal","this.vo."&amp;F6&amp;" = "&amp;0,"this.vo."&amp;F6&amp;" = ''")&amp;" ; //"&amp;TRIM(C6)</f>
        <v>this.vo.wkDt = '' ; //日期</v>
      </c>
    </row>
    <row r="7" spans="1:32" ht="14.5" x14ac:dyDescent="0.4">
      <c r="A7" s="1" t="s">
        <v>106</v>
      </c>
      <c r="B7" s="1" t="s">
        <v>89</v>
      </c>
      <c r="C7" s="1" t="s">
        <v>94</v>
      </c>
      <c r="D7" s="1" t="s">
        <v>5</v>
      </c>
      <c r="E7" s="5">
        <v>1</v>
      </c>
      <c r="F7" s="1" t="str">
        <f t="shared" si="7"/>
        <v>dockCd</v>
      </c>
      <c r="G7" s="1" t="str">
        <f t="shared" si="0"/>
        <v>DockCd</v>
      </c>
      <c r="H7" s="1" t="str">
        <f t="shared" si="1"/>
        <v>string</v>
      </c>
      <c r="I7" s="1" t="str">
        <f t="shared" si="8"/>
        <v xml:space="preserve">///&lt;summary&gt;
///碼頭NO
///&lt;/summary&gt;
public string DockCd {get; set;}
</v>
      </c>
      <c r="J7" s="1" t="str">
        <f t="shared" si="2"/>
        <v xml:space="preserve"> AND t1.DOCK_CD = @DOCK_CD</v>
      </c>
      <c r="K7" s="1" t="str">
        <f t="shared" si="3"/>
        <v>t1.DOCK_CD        AS DockCd,</v>
      </c>
      <c r="L7" s="1" t="str">
        <f t="shared" si="4"/>
        <v>,DOCK_CD</v>
      </c>
      <c r="M7" s="1" t="str">
        <f t="shared" si="5"/>
        <v>,@DOCK_CD</v>
      </c>
      <c r="N7" s="1" t="str">
        <f t="shared" si="6"/>
        <v xml:space="preserve">DOCK_CD = @DOCK_CD, </v>
      </c>
      <c r="O7" s="1" t="str">
        <f t="shared" si="9"/>
        <v>error += ExcelUtil.CheckValue(excelVo.DockCd , "碼頭NO", false, (null, null, 1), (true, false, false), (false, false));</v>
      </c>
      <c r="P7" s="1" t="str">
        <f t="shared" si="10"/>
        <v>excelVo.DockCd = StringUtil.IsNotEmpty(ExcelUtil.GetCell(sheet, i, j).ToString().TrimEnd())? ExcelUtil.GetCell(sheet, i, j).ToString().TrimEnd().ToUpper():"";j++;//碼頭NO</v>
      </c>
      <c r="Q7" s="1" t="str">
        <f t="shared" si="11"/>
        <v>ExcelUtil.SetContent(sheet, row, column++, (string)item["dockCd"]);</v>
      </c>
      <c r="R7" s="1" t="str">
        <f t="shared" si="12"/>
        <v>paramDt.Add("@DOCK_CD" , DockCd );//VARCHAR</v>
      </c>
      <c r="S7" s="1" t="str">
        <f t="shared" si="13"/>
        <v>paramDt.Add("@DOCK_CD" , master.DockCd );//碼頭NO</v>
      </c>
      <c r="T7" s="1" t="str">
        <f t="shared" si="14"/>
        <v>{ name: 'dockCd' , sort: 'DOCK_CD' },</v>
      </c>
      <c r="U7" s="1" t="str">
        <f t="shared" si="15"/>
        <v>"dockCd":"碼頭NO",</v>
      </c>
      <c r="V7" s="1" t="str">
        <f t="shared" si="16"/>
        <v>this.vo.dockCd = '' ; //碼頭NO</v>
      </c>
    </row>
    <row r="8" spans="1:32" ht="14.5" x14ac:dyDescent="0.4">
      <c r="A8" s="1" t="s">
        <v>106</v>
      </c>
      <c r="B8" s="1" t="s">
        <v>90</v>
      </c>
      <c r="C8" s="1" t="s">
        <v>95</v>
      </c>
      <c r="D8" s="1" t="s">
        <v>5</v>
      </c>
      <c r="E8" s="5">
        <v>20</v>
      </c>
      <c r="F8" s="1" t="str">
        <f t="shared" si="7"/>
        <v>cntrNo</v>
      </c>
      <c r="G8" s="1" t="str">
        <f t="shared" si="0"/>
        <v>CntrNo</v>
      </c>
      <c r="H8" s="1" t="str">
        <f t="shared" si="1"/>
        <v>string</v>
      </c>
      <c r="I8" s="1" t="str">
        <f t="shared" si="8"/>
        <v xml:space="preserve">///&lt;summary&gt;
///貨櫃NO
///&lt;/summary&gt;
public string CntrNo {get; set;}
</v>
      </c>
      <c r="J8" s="1" t="str">
        <f t="shared" si="2"/>
        <v xml:space="preserve"> AND t1.CNTR_NO = @CNTR_NO</v>
      </c>
      <c r="K8" s="1" t="str">
        <f t="shared" si="3"/>
        <v>t1.CNTR_NO        AS CntrNo,</v>
      </c>
      <c r="L8" s="1" t="str">
        <f t="shared" si="4"/>
        <v>,CNTR_NO</v>
      </c>
      <c r="M8" s="1" t="str">
        <f t="shared" si="5"/>
        <v>,@CNTR_NO</v>
      </c>
      <c r="N8" s="1" t="str">
        <f t="shared" si="6"/>
        <v xml:space="preserve">CNTR_NO = @CNTR_NO, </v>
      </c>
      <c r="O8" s="1" t="str">
        <f t="shared" si="9"/>
        <v>error += ExcelUtil.CheckValue(excelVo.CntrNo , "貨櫃NO", false, (null, null, 20), (true, false, false), (false, false));</v>
      </c>
      <c r="P8" s="1" t="str">
        <f t="shared" si="10"/>
        <v>excelVo.CntrNo = StringUtil.IsNotEmpty(ExcelUtil.GetCell(sheet, i, j).ToString().TrimEnd())? ExcelUtil.GetCell(sheet, i, j).ToString().TrimEnd().ToUpper():"";j++;//貨櫃NO</v>
      </c>
      <c r="Q8" s="1" t="str">
        <f t="shared" si="11"/>
        <v>ExcelUtil.SetContent(sheet, row, column++, (string)item["cntrNo"]);</v>
      </c>
      <c r="R8" s="1" t="str">
        <f t="shared" si="12"/>
        <v>paramDt.Add("@CNTR_NO" , CntrNo );//VARCHAR</v>
      </c>
      <c r="S8" s="1" t="str">
        <f t="shared" si="13"/>
        <v>paramDt.Add("@CNTR_NO" , master.CntrNo );//貨櫃NO</v>
      </c>
      <c r="T8" s="1" t="str">
        <f t="shared" si="14"/>
        <v>{ name: 'cntrNo' , sort: 'CNTR_NO' },</v>
      </c>
      <c r="U8" s="1" t="str">
        <f t="shared" si="15"/>
        <v>"cntrNo":"貨櫃NO",</v>
      </c>
      <c r="V8" s="1" t="str">
        <f t="shared" si="16"/>
        <v>this.vo.cntrNo = '' ; //貨櫃NO</v>
      </c>
    </row>
    <row r="9" spans="1:32" ht="14.5" x14ac:dyDescent="0.4">
      <c r="A9" s="1" t="s">
        <v>106</v>
      </c>
      <c r="B9" s="1" t="s">
        <v>91</v>
      </c>
      <c r="C9" s="1" t="s">
        <v>96</v>
      </c>
      <c r="D9" s="1" t="s">
        <v>5</v>
      </c>
      <c r="E9" s="5">
        <v>20</v>
      </c>
      <c r="F9" s="1" t="str">
        <f t="shared" si="7"/>
        <v>cntrSn</v>
      </c>
      <c r="G9" s="1" t="str">
        <f t="shared" si="0"/>
        <v>CntrSn</v>
      </c>
      <c r="H9" s="1" t="str">
        <f t="shared" si="1"/>
        <v>string</v>
      </c>
      <c r="I9" s="1" t="str">
        <f t="shared" si="8"/>
        <v xml:space="preserve">///&lt;summary&gt;
///貨櫃連番
///&lt;/summary&gt;
public string CntrSn {get; set;}
</v>
      </c>
      <c r="J9" s="1" t="str">
        <f t="shared" si="2"/>
        <v xml:space="preserve"> AND t1.CNTR_SN = @CNTR_SN</v>
      </c>
      <c r="K9" s="1" t="str">
        <f t="shared" si="3"/>
        <v>t1.CNTR_SN        AS CntrSn,</v>
      </c>
      <c r="L9" s="1" t="str">
        <f t="shared" si="4"/>
        <v>,CNTR_SN</v>
      </c>
      <c r="M9" s="1" t="str">
        <f t="shared" si="5"/>
        <v>,@CNTR_SN</v>
      </c>
      <c r="N9" s="1" t="str">
        <f t="shared" si="6"/>
        <v xml:space="preserve">CNTR_SN = @CNTR_SN, </v>
      </c>
      <c r="O9" s="1" t="str">
        <f t="shared" si="9"/>
        <v>error += ExcelUtil.CheckValue(excelVo.CntrSn , "貨櫃連番", false, (null, null, 20), (true, false, false), (false, false));</v>
      </c>
      <c r="P9" s="1" t="str">
        <f t="shared" si="10"/>
        <v>excelVo.CntrSn = StringUtil.IsNotEmpty(ExcelUtil.GetCell(sheet, i, j).ToString().TrimEnd())? ExcelUtil.GetCell(sheet, i, j).ToString().TrimEnd().ToUpper():"";j++;//貨櫃連番</v>
      </c>
      <c r="Q9" s="1" t="str">
        <f t="shared" si="11"/>
        <v>ExcelUtil.SetContent(sheet, row, column++, (string)item["cntrSn"]);</v>
      </c>
      <c r="R9" s="1" t="str">
        <f t="shared" si="12"/>
        <v>paramDt.Add("@CNTR_SN" , CntrSn );//VARCHAR</v>
      </c>
      <c r="S9" s="1" t="str">
        <f t="shared" si="13"/>
        <v>paramDt.Add("@CNTR_SN" , master.CntrSn );//貨櫃連番</v>
      </c>
      <c r="T9" s="1" t="str">
        <f t="shared" si="14"/>
        <v>{ name: 'cntrSn' , sort: 'CNTR_SN' },</v>
      </c>
      <c r="U9" s="1" t="str">
        <f t="shared" si="15"/>
        <v>"cntrSn":"貨櫃連番",</v>
      </c>
      <c r="V9" s="1" t="str">
        <f t="shared" si="16"/>
        <v>this.vo.cntrSn = '' ; //貨櫃連番</v>
      </c>
    </row>
    <row r="10" spans="1:32" ht="14.5" x14ac:dyDescent="0.4">
      <c r="A10" s="1" t="s">
        <v>106</v>
      </c>
      <c r="B10" s="1" t="s">
        <v>64</v>
      </c>
      <c r="C10" s="1" t="s">
        <v>77</v>
      </c>
      <c r="D10" s="1" t="s">
        <v>5</v>
      </c>
      <c r="E10" s="5">
        <v>1</v>
      </c>
      <c r="F10" s="1" t="str">
        <f t="shared" si="7"/>
        <v>shiftCd</v>
      </c>
      <c r="G10" s="1" t="str">
        <f t="shared" si="0"/>
        <v>ShiftCd</v>
      </c>
      <c r="H10" s="1" t="str">
        <f t="shared" si="1"/>
        <v>string</v>
      </c>
      <c r="I10" s="1" t="str">
        <f t="shared" si="8"/>
        <v xml:space="preserve">///&lt;summary&gt;
///直別
///&lt;/summary&gt;
public string ShiftCd {get; set;}
</v>
      </c>
      <c r="J10" s="1" t="str">
        <f t="shared" si="2"/>
        <v xml:space="preserve"> AND t1.SHIFT_CD = @SHIFT_CD</v>
      </c>
      <c r="K10" s="1" t="str">
        <f t="shared" si="3"/>
        <v>t1.SHIFT_CD        AS ShiftCd,</v>
      </c>
      <c r="L10" s="1" t="str">
        <f t="shared" si="4"/>
        <v>,SHIFT_CD</v>
      </c>
      <c r="M10" s="1" t="str">
        <f t="shared" si="5"/>
        <v>,@SHIFT_CD</v>
      </c>
      <c r="N10" s="1" t="str">
        <f t="shared" si="6"/>
        <v xml:space="preserve">SHIFT_CD = @SHIFT_CD, </v>
      </c>
      <c r="O10" s="1" t="str">
        <f t="shared" si="9"/>
        <v>error += ExcelUtil.CheckValue(excelVo.ShiftCd , "直別", false, (null, null, 1), (true, false, false), (false, false));</v>
      </c>
      <c r="P10" s="1" t="str">
        <f t="shared" si="10"/>
        <v>excelVo.ShiftCd = StringUtil.IsNotEmpty(ExcelUtil.GetCell(sheet, i, j).ToString().TrimEnd())? ExcelUtil.GetCell(sheet, i, j).ToString().TrimEnd().ToUpper():"";j++;//直別</v>
      </c>
      <c r="Q10" s="1" t="str">
        <f t="shared" si="11"/>
        <v>ExcelUtil.SetContent(sheet, row, column++, (string)item["shiftCd"]);</v>
      </c>
      <c r="R10" s="1" t="str">
        <f t="shared" si="12"/>
        <v>paramDt.Add("@SHIFT_CD" , ShiftCd );//VARCHAR</v>
      </c>
      <c r="S10" s="1" t="str">
        <f t="shared" si="13"/>
        <v>paramDt.Add("@SHIFT_CD" , master.ShiftCd );//直別</v>
      </c>
      <c r="T10" s="1" t="str">
        <f t="shared" si="14"/>
        <v>{ name: 'shiftCd' , sort: 'SHIFT_CD' },</v>
      </c>
      <c r="U10" s="1" t="str">
        <f t="shared" si="15"/>
        <v>"shiftCd":"直別",</v>
      </c>
      <c r="V10" s="1" t="str">
        <f t="shared" si="16"/>
        <v>this.vo.shiftCd = '' ; //直別</v>
      </c>
    </row>
    <row r="11" spans="1:32" ht="14.5" x14ac:dyDescent="0.4">
      <c r="A11" s="1" t="s">
        <v>106</v>
      </c>
      <c r="B11" s="1" t="s">
        <v>35</v>
      </c>
      <c r="C11" s="1" t="s">
        <v>110</v>
      </c>
      <c r="D11" s="1" t="s">
        <v>5</v>
      </c>
      <c r="E11" s="5">
        <v>1</v>
      </c>
      <c r="F11" s="1" t="str">
        <f t="shared" si="7"/>
        <v>modType</v>
      </c>
      <c r="G11" s="1" t="str">
        <f t="shared" si="0"/>
        <v>ModType</v>
      </c>
      <c r="H11" s="1" t="str">
        <f>IF(D11="VARCHAR","string",IF(D11="DECIMAL","decimal?",IF(D11="DATETIME","DateTime?",IF(D11="INT","int","string"))))</f>
        <v>string</v>
      </c>
      <c r="I11" s="1" t="str">
        <f t="shared" si="8"/>
        <v xml:space="preserve">///&lt;summary&gt;
///MOD_TYPE
///&lt;/summary&gt;
public string ModType {get; set;}
</v>
      </c>
      <c r="J11" s="1" t="str">
        <f t="shared" si="2"/>
        <v xml:space="preserve"> AND t1.MOD_TYPE = @MOD_TYPE</v>
      </c>
      <c r="K11" s="1" t="str">
        <f t="shared" si="3"/>
        <v>t1.MOD_TYPE        AS ModType,</v>
      </c>
      <c r="L11" s="1" t="str">
        <f t="shared" si="4"/>
        <v>,MOD_TYPE</v>
      </c>
      <c r="M11" s="1" t="str">
        <f t="shared" si="5"/>
        <v>,@MOD_TYPE</v>
      </c>
      <c r="N11" s="1" t="str">
        <f t="shared" si="6"/>
        <v xml:space="preserve">MOD_TYPE = @MOD_TYPE, </v>
      </c>
      <c r="O11" s="1" t="str">
        <f t="shared" si="9"/>
        <v>error += ExcelUtil.CheckValue(excelVo.ModType , "MOD_TYPE", false, (null, null, 1), (true, false, false), (false, false));</v>
      </c>
      <c r="P11" s="1" t="str">
        <f t="shared" si="10"/>
        <v>excelVo.ModType = StringUtil.IsNotEmpty(ExcelUtil.GetCell(sheet, i, j).ToString().TrimEnd())? ExcelUtil.GetCell(sheet, i, j).ToString().TrimEnd().ToUpper():"";j++;//MOD_TYPE</v>
      </c>
      <c r="Q11" s="1" t="str">
        <f t="shared" si="11"/>
        <v>ExcelUtil.SetContent(sheet, row, column++, (string)item["modType"]);</v>
      </c>
      <c r="R11" s="1" t="str">
        <f t="shared" si="12"/>
        <v>paramDt.Add("@MOD_TYPE" , ModType );//VARCHAR</v>
      </c>
      <c r="S11" s="1" t="str">
        <f t="shared" si="13"/>
        <v>paramDt.Add("@MOD_TYPE" , master.ModType );//MOD_TYPE</v>
      </c>
      <c r="T11" s="1" t="str">
        <f t="shared" si="14"/>
        <v>{ name: 'modType' , sort: 'MOD_TYPE' },</v>
      </c>
      <c r="U11" s="1" t="str">
        <f t="shared" si="15"/>
        <v>"modType":"MOD_TYPE",</v>
      </c>
      <c r="V11" s="1" t="str">
        <f t="shared" si="16"/>
        <v>this.vo.modType = '' ; //MOD_TYPE</v>
      </c>
    </row>
    <row r="12" spans="1:32" ht="14.5" x14ac:dyDescent="0.4">
      <c r="A12" s="1" t="s">
        <v>106</v>
      </c>
      <c r="B12" s="1" t="s">
        <v>68</v>
      </c>
      <c r="C12" s="1" t="s">
        <v>111</v>
      </c>
      <c r="D12" s="1" t="s">
        <v>5</v>
      </c>
      <c r="E12" s="5">
        <v>6</v>
      </c>
      <c r="F12" s="1" t="str">
        <f t="shared" si="7"/>
        <v>modNo</v>
      </c>
      <c r="G12" s="1" t="str">
        <f t="shared" si="0"/>
        <v>ModNo</v>
      </c>
      <c r="H12" s="1" t="str">
        <f t="shared" ref="H12:H58" si="17">IF(D12="VARCHAR","string",IF(D12="DECIMAL","decimal?",IF(D12="DATETIME","DateTime?",IF(D12="INT","int","string"))))</f>
        <v>string</v>
      </c>
      <c r="I12" s="1" t="str">
        <f t="shared" si="8"/>
        <v xml:space="preserve">///&lt;summary&gt;
///MOD_NO
///&lt;/summary&gt;
public string ModNo {get; set;}
</v>
      </c>
      <c r="J12" s="1" t="str">
        <f t="shared" si="2"/>
        <v xml:space="preserve"> AND t1.MOD_NO = @MOD_NO</v>
      </c>
      <c r="K12" s="1" t="str">
        <f t="shared" si="3"/>
        <v>t1.MOD_NO        AS ModNo,</v>
      </c>
      <c r="L12" s="1" t="str">
        <f t="shared" si="4"/>
        <v>,MOD_NO</v>
      </c>
      <c r="M12" s="1" t="str">
        <f t="shared" si="5"/>
        <v>,@MOD_NO</v>
      </c>
      <c r="N12" s="1" t="str">
        <f t="shared" si="6"/>
        <v xml:space="preserve">MOD_NO = @MOD_NO, </v>
      </c>
      <c r="O12" s="1" t="str">
        <f t="shared" si="9"/>
        <v>error += ExcelUtil.CheckValue(excelVo.ModNo , "MOD_NO", false, (null, null, 6), (true, false, false), (false, false));</v>
      </c>
      <c r="P12" s="1" t="str">
        <f t="shared" si="10"/>
        <v>excelVo.ModNo = StringUtil.IsNotEmpty(ExcelUtil.GetCell(sheet, i, j).ToString().TrimEnd())? ExcelUtil.GetCell(sheet, i, j).ToString().TrimEnd().ToUpper():"";j++;//MOD_NO</v>
      </c>
      <c r="Q12" s="1" t="str">
        <f t="shared" si="11"/>
        <v>ExcelUtil.SetContent(sheet, row, column++, (string)item["modNo"]);</v>
      </c>
      <c r="R12" s="1" t="str">
        <f t="shared" si="12"/>
        <v>paramDt.Add("@MOD_NO" , ModNo );//VARCHAR</v>
      </c>
      <c r="S12" s="1" t="str">
        <f t="shared" si="13"/>
        <v>paramDt.Add("@MOD_NO" , master.ModNo );//MOD_NO</v>
      </c>
      <c r="T12" s="1" t="str">
        <f t="shared" si="14"/>
        <v>{ name: 'modNo' , sort: 'MOD_NO' },</v>
      </c>
      <c r="U12" s="1" t="str">
        <f t="shared" si="15"/>
        <v>"modNo":"MOD_NO",</v>
      </c>
      <c r="V12" s="1" t="str">
        <f t="shared" si="16"/>
        <v>this.vo.modNo = '' ; //MOD_NO</v>
      </c>
    </row>
    <row r="13" spans="1:32" ht="14.5" x14ac:dyDescent="0.4">
      <c r="A13" s="1" t="s">
        <v>106</v>
      </c>
      <c r="B13" s="1" t="s">
        <v>34</v>
      </c>
      <c r="C13" s="1" t="s">
        <v>112</v>
      </c>
      <c r="D13" s="1" t="s">
        <v>5</v>
      </c>
      <c r="E13" s="5">
        <v>2</v>
      </c>
      <c r="F13" s="1" t="str">
        <f t="shared" si="7"/>
        <v>modCd</v>
      </c>
      <c r="G13" s="1" t="str">
        <f t="shared" si="0"/>
        <v>ModCd</v>
      </c>
      <c r="H13" s="1" t="str">
        <f t="shared" si="17"/>
        <v>string</v>
      </c>
      <c r="I13" s="1" t="str">
        <f t="shared" si="8"/>
        <v xml:space="preserve">///&lt;summary&gt;
///MOD_CD
///&lt;/summary&gt;
public string ModCd {get; set;}
</v>
      </c>
      <c r="J13" s="1" t="str">
        <f t="shared" si="2"/>
        <v xml:space="preserve"> AND t1.MOD_CD = @MOD_CD</v>
      </c>
      <c r="K13" s="1" t="str">
        <f t="shared" si="3"/>
        <v>t1.MOD_CD        AS ModCd,</v>
      </c>
      <c r="L13" s="1" t="str">
        <f t="shared" si="4"/>
        <v>,MOD_CD</v>
      </c>
      <c r="M13" s="1" t="str">
        <f t="shared" si="5"/>
        <v>,@MOD_CD</v>
      </c>
      <c r="N13" s="1" t="str">
        <f t="shared" si="6"/>
        <v xml:space="preserve">MOD_CD = @MOD_CD, </v>
      </c>
      <c r="O13" s="1" t="str">
        <f t="shared" si="9"/>
        <v>error += ExcelUtil.CheckValue(excelVo.ModCd , "MOD_CD", false, (null, null, 2), (true, false, false), (false, false));</v>
      </c>
      <c r="P13" s="1" t="str">
        <f t="shared" si="10"/>
        <v>excelVo.ModCd = StringUtil.IsNotEmpty(ExcelUtil.GetCell(sheet, i, j).ToString().TrimEnd())? ExcelUtil.GetCell(sheet, i, j).ToString().TrimEnd().ToUpper():"";j++;//MOD_CD</v>
      </c>
      <c r="Q13" s="1" t="str">
        <f t="shared" si="11"/>
        <v>ExcelUtil.SetContent(sheet, row, column++, (string)item["modCd"]);</v>
      </c>
      <c r="R13" s="1" t="str">
        <f t="shared" si="12"/>
        <v>paramDt.Add("@MOD_CD" , ModCd );//VARCHAR</v>
      </c>
      <c r="S13" s="1" t="str">
        <f t="shared" si="13"/>
        <v>paramDt.Add("@MOD_CD" , master.ModCd );//MOD_CD</v>
      </c>
      <c r="T13" s="1" t="str">
        <f t="shared" si="14"/>
        <v>{ name: 'modCd' , sort: 'MOD_CD' },</v>
      </c>
      <c r="U13" s="1" t="str">
        <f t="shared" si="15"/>
        <v>"modCd":"MOD_CD",</v>
      </c>
      <c r="V13" s="1" t="str">
        <f t="shared" si="16"/>
        <v>this.vo.modCd = '' ; //MOD_CD</v>
      </c>
    </row>
    <row r="14" spans="1:32" ht="14.5" x14ac:dyDescent="0.4">
      <c r="A14" s="1" t="s">
        <v>106</v>
      </c>
      <c r="B14" s="1" t="s">
        <v>107</v>
      </c>
      <c r="C14" s="1" t="s">
        <v>113</v>
      </c>
      <c r="D14" s="1" t="s">
        <v>5</v>
      </c>
      <c r="E14" s="5">
        <v>50</v>
      </c>
      <c r="F14" s="1" t="str">
        <f t="shared" si="7"/>
        <v>imeiNo</v>
      </c>
      <c r="G14" s="1" t="str">
        <f t="shared" si="0"/>
        <v>ImeiNo</v>
      </c>
      <c r="H14" s="1" t="str">
        <f t="shared" si="17"/>
        <v>string</v>
      </c>
      <c r="I14" s="1" t="str">
        <f t="shared" si="8"/>
        <v xml:space="preserve">///&lt;summary&gt;
///IMEI_NO
///&lt;/summary&gt;
public string ImeiNo {get; set;}
</v>
      </c>
      <c r="J14" s="1" t="str">
        <f t="shared" si="2"/>
        <v xml:space="preserve"> AND t1.IMEI_NO = @IMEI_NO</v>
      </c>
      <c r="K14" s="1" t="str">
        <f t="shared" si="3"/>
        <v>t1.IMEI_NO        AS ImeiNo,</v>
      </c>
      <c r="L14" s="1" t="str">
        <f t="shared" si="4"/>
        <v>,IMEI_NO</v>
      </c>
      <c r="M14" s="1" t="str">
        <f t="shared" si="5"/>
        <v>,@IMEI_NO</v>
      </c>
      <c r="N14" s="1" t="str">
        <f t="shared" si="6"/>
        <v xml:space="preserve">IMEI_NO = @IMEI_NO, </v>
      </c>
      <c r="O14" s="1" t="str">
        <f t="shared" si="9"/>
        <v>error += ExcelUtil.CheckValue(excelVo.ImeiNo , "IMEI_NO", false, (null, null, 50), (true, false, false), (false, false));</v>
      </c>
      <c r="P14" s="1" t="str">
        <f t="shared" si="10"/>
        <v>excelVo.ImeiNo = StringUtil.IsNotEmpty(ExcelUtil.GetCell(sheet, i, j).ToString().TrimEnd())? ExcelUtil.GetCell(sheet, i, j).ToString().TrimEnd().ToUpper():"";j++;//IMEI_NO</v>
      </c>
      <c r="Q14" s="1" t="str">
        <f t="shared" si="11"/>
        <v>ExcelUtil.SetContent(sheet, row, column++, (string)item["imeiNo"]);</v>
      </c>
      <c r="R14" s="1" t="str">
        <f t="shared" si="12"/>
        <v>paramDt.Add("@IMEI_NO" , ImeiNo );//VARCHAR</v>
      </c>
      <c r="S14" s="1" t="str">
        <f t="shared" si="13"/>
        <v>paramDt.Add("@IMEI_NO" , master.ImeiNo );//IMEI_NO</v>
      </c>
      <c r="T14" s="1" t="str">
        <f t="shared" si="14"/>
        <v>{ name: 'imeiNo' , sort: 'IMEI_NO' },</v>
      </c>
      <c r="U14" s="1" t="str">
        <f t="shared" si="15"/>
        <v>"imeiNo":"IMEI_NO",</v>
      </c>
      <c r="V14" s="1" t="str">
        <f t="shared" si="16"/>
        <v>this.vo.imeiNo = '' ; //IMEI_NO</v>
      </c>
    </row>
    <row r="15" spans="1:32" ht="14.5" x14ac:dyDescent="0.4">
      <c r="A15" s="1" t="s">
        <v>106</v>
      </c>
      <c r="B15" s="1" t="s">
        <v>108</v>
      </c>
      <c r="C15" s="1" t="s">
        <v>114</v>
      </c>
      <c r="D15" s="1" t="s">
        <v>5</v>
      </c>
      <c r="E15" s="5">
        <v>20</v>
      </c>
      <c r="F15" s="1" t="str">
        <f t="shared" si="7"/>
        <v>workId</v>
      </c>
      <c r="G15" s="1" t="str">
        <f t="shared" si="0"/>
        <v>WorkId</v>
      </c>
      <c r="H15" s="1" t="str">
        <f t="shared" si="17"/>
        <v>string</v>
      </c>
      <c r="I15" s="1" t="str">
        <f t="shared" si="8"/>
        <v xml:space="preserve">///&lt;summary&gt;
///搬入者工號
///&lt;/summary&gt;
public string WorkId {get; set;}
</v>
      </c>
      <c r="J15" s="1" t="str">
        <f t="shared" si="2"/>
        <v xml:space="preserve"> AND t1.WORK_ID = @WORK_ID</v>
      </c>
      <c r="K15" s="1" t="str">
        <f t="shared" si="3"/>
        <v>t1.WORK_ID        AS WorkId,</v>
      </c>
      <c r="L15" s="1" t="str">
        <f t="shared" si="4"/>
        <v>,WORK_ID</v>
      </c>
      <c r="M15" s="1" t="str">
        <f t="shared" si="5"/>
        <v>,@WORK_ID</v>
      </c>
      <c r="N15" s="1" t="str">
        <f t="shared" si="6"/>
        <v xml:space="preserve">WORK_ID = @WORK_ID, </v>
      </c>
      <c r="O15" s="1" t="str">
        <f t="shared" si="9"/>
        <v>error += ExcelUtil.CheckValue(excelVo.WorkId , "搬入者工號", false, (null, null, 20), (true, false, false), (false, false));</v>
      </c>
      <c r="P15" s="1" t="str">
        <f t="shared" si="10"/>
        <v>excelVo.WorkId = StringUtil.IsNotEmpty(ExcelUtil.GetCell(sheet, i, j).ToString().TrimEnd())? ExcelUtil.GetCell(sheet, i, j).ToString().TrimEnd().ToUpper():"";j++;//搬入者工號</v>
      </c>
      <c r="Q15" s="1" t="str">
        <f t="shared" si="11"/>
        <v>ExcelUtil.SetContent(sheet, row, column++, (string)item["workId"]);</v>
      </c>
      <c r="R15" s="1" t="str">
        <f t="shared" si="12"/>
        <v>paramDt.Add("@WORK_ID" , WorkId );//VARCHAR</v>
      </c>
      <c r="S15" s="1" t="str">
        <f t="shared" si="13"/>
        <v>paramDt.Add("@WORK_ID" , master.WorkId );//搬入者工號</v>
      </c>
      <c r="T15" s="1" t="str">
        <f t="shared" si="14"/>
        <v>{ name: 'workId' , sort: 'WORK_ID' },</v>
      </c>
      <c r="U15" s="1" t="str">
        <f t="shared" si="15"/>
        <v>"workId":"搬入者工號",</v>
      </c>
      <c r="V15" s="1" t="str">
        <f t="shared" si="16"/>
        <v>this.vo.workId = '' ; //搬入者工號</v>
      </c>
    </row>
    <row r="16" spans="1:32" ht="14.5" x14ac:dyDescent="0.4">
      <c r="A16" s="1" t="s">
        <v>106</v>
      </c>
      <c r="B16" s="1" t="s">
        <v>72</v>
      </c>
      <c r="C16" s="1" t="s">
        <v>100</v>
      </c>
      <c r="D16" s="1" t="s">
        <v>5</v>
      </c>
      <c r="E16" s="5">
        <v>4</v>
      </c>
      <c r="F16" s="1" t="str">
        <f t="shared" si="7"/>
        <v>startTm</v>
      </c>
      <c r="G16" s="1" t="str">
        <f t="shared" si="0"/>
        <v>StartTm</v>
      </c>
      <c r="H16" s="1" t="str">
        <f t="shared" si="17"/>
        <v>string</v>
      </c>
      <c r="I16" s="1" t="str">
        <f t="shared" si="8"/>
        <v xml:space="preserve">///&lt;summary&gt;
///開始下櫃時間
///&lt;/summary&gt;
public string StartTm {get; set;}
</v>
      </c>
      <c r="J16" s="1" t="str">
        <f t="shared" si="2"/>
        <v xml:space="preserve"> AND t1.START_TM = @START_TM</v>
      </c>
      <c r="K16" s="1" t="str">
        <f t="shared" si="3"/>
        <v>t1.START_TM        AS StartTm,</v>
      </c>
      <c r="L16" s="1" t="str">
        <f t="shared" si="4"/>
        <v>,START_TM</v>
      </c>
      <c r="M16" s="1" t="str">
        <f t="shared" si="5"/>
        <v>,@START_TM</v>
      </c>
      <c r="N16" s="1" t="str">
        <f t="shared" si="6"/>
        <v xml:space="preserve">START_TM = @START_TM, </v>
      </c>
      <c r="O16" s="1" t="str">
        <f t="shared" si="9"/>
        <v>error += ExcelUtil.CheckValue(excelVo.StartTm , "開始下櫃時間", false, (null, null, 4), (true, false, false), (false, false));</v>
      </c>
      <c r="P16" s="1" t="str">
        <f t="shared" si="10"/>
        <v>excelVo.StartTm = StringUtil.IsNotEmpty(ExcelUtil.GetCell(sheet, i, j).ToString().TrimEnd())? ExcelUtil.GetCell(sheet, i, j).ToString().TrimEnd().ToUpper():"";j++;//開始下櫃時間</v>
      </c>
      <c r="Q16" s="1" t="str">
        <f t="shared" si="11"/>
        <v>ExcelUtil.SetContent(sheet, row, column++, (string)item["startTm"]);</v>
      </c>
      <c r="R16" s="1" t="str">
        <f t="shared" si="12"/>
        <v>paramDt.Add("@START_TM" , StartTm );//VARCHAR</v>
      </c>
      <c r="S16" s="1" t="str">
        <f t="shared" si="13"/>
        <v>paramDt.Add("@START_TM" , master.StartTm );//開始下櫃時間</v>
      </c>
      <c r="T16" s="1" t="str">
        <f t="shared" si="14"/>
        <v>{ name: 'startTm' , sort: 'START_TM' },</v>
      </c>
      <c r="U16" s="1" t="str">
        <f t="shared" si="15"/>
        <v>"startTm":"開始下櫃時間",</v>
      </c>
      <c r="V16" s="1" t="str">
        <f t="shared" si="16"/>
        <v>this.vo.startTm = '' ; //開始下櫃時間</v>
      </c>
    </row>
    <row r="17" spans="1:22" ht="14.5" x14ac:dyDescent="0.4">
      <c r="A17" s="1" t="s">
        <v>106</v>
      </c>
      <c r="B17" s="1" t="s">
        <v>73</v>
      </c>
      <c r="C17" s="1" t="s">
        <v>101</v>
      </c>
      <c r="D17" s="1" t="s">
        <v>5</v>
      </c>
      <c r="E17" s="5">
        <v>4</v>
      </c>
      <c r="F17" s="1" t="str">
        <f t="shared" si="7"/>
        <v>endTm</v>
      </c>
      <c r="G17" s="1" t="str">
        <f t="shared" si="0"/>
        <v>EndTm</v>
      </c>
      <c r="H17" s="1" t="str">
        <f t="shared" si="17"/>
        <v>string</v>
      </c>
      <c r="I17" s="1" t="str">
        <f t="shared" si="8"/>
        <v xml:space="preserve">///&lt;summary&gt;
///結束下櫃時間
///&lt;/summary&gt;
public string EndTm {get; set;}
</v>
      </c>
      <c r="J17" s="1" t="str">
        <f t="shared" si="2"/>
        <v xml:space="preserve"> AND t1.END_TM = @END_TM</v>
      </c>
      <c r="K17" s="1" t="str">
        <f t="shared" si="3"/>
        <v>t1.END_TM        AS EndTm,</v>
      </c>
      <c r="L17" s="1" t="str">
        <f t="shared" si="4"/>
        <v>,END_TM</v>
      </c>
      <c r="M17" s="1" t="str">
        <f t="shared" si="5"/>
        <v>,@END_TM</v>
      </c>
      <c r="N17" s="1" t="str">
        <f t="shared" si="6"/>
        <v xml:space="preserve">END_TM = @END_TM, </v>
      </c>
      <c r="O17" s="1" t="str">
        <f t="shared" si="9"/>
        <v>error += ExcelUtil.CheckValue(excelVo.EndTm , "結束下櫃時間", false, (null, null, 4), (true, false, false), (false, false));</v>
      </c>
      <c r="P17" s="1" t="str">
        <f t="shared" si="10"/>
        <v>excelVo.EndTm = StringUtil.IsNotEmpty(ExcelUtil.GetCell(sheet, i, j).ToString().TrimEnd())? ExcelUtil.GetCell(sheet, i, j).ToString().TrimEnd().ToUpper():"";j++;//結束下櫃時間</v>
      </c>
      <c r="Q17" s="1" t="str">
        <f t="shared" si="11"/>
        <v>ExcelUtil.SetContent(sheet, row, column++, (string)item["endTm"]);</v>
      </c>
      <c r="R17" s="1" t="str">
        <f t="shared" si="12"/>
        <v>paramDt.Add("@END_TM" , EndTm );//VARCHAR</v>
      </c>
      <c r="S17" s="1" t="str">
        <f t="shared" si="13"/>
        <v>paramDt.Add("@END_TM" , master.EndTm );//結束下櫃時間</v>
      </c>
      <c r="T17" s="1" t="str">
        <f t="shared" si="14"/>
        <v>{ name: 'endTm' , sort: 'END_TM' },</v>
      </c>
      <c r="U17" s="1" t="str">
        <f t="shared" si="15"/>
        <v>"endTm":"結束下櫃時間",</v>
      </c>
      <c r="V17" s="1" t="str">
        <f t="shared" si="16"/>
        <v>this.vo.endTm = '' ; //結束下櫃時間</v>
      </c>
    </row>
    <row r="18" spans="1:22" ht="14.5" x14ac:dyDescent="0.4">
      <c r="A18" s="1" t="s">
        <v>106</v>
      </c>
      <c r="B18" s="1" t="s">
        <v>74</v>
      </c>
      <c r="C18" s="1" t="s">
        <v>115</v>
      </c>
      <c r="D18" s="1" t="s">
        <v>117</v>
      </c>
      <c r="E18" s="5"/>
      <c r="F18" s="1" t="str">
        <f t="shared" si="7"/>
        <v>realTimes</v>
      </c>
      <c r="G18" s="1" t="str">
        <f t="shared" si="0"/>
        <v>RealTimes</v>
      </c>
      <c r="H18" s="1" t="str">
        <f t="shared" si="17"/>
        <v>int</v>
      </c>
      <c r="I18" s="1" t="str">
        <f t="shared" si="8"/>
        <v xml:space="preserve">///&lt;summary&gt;
///實際搬入時間
///&lt;/summary&gt;
public int RealTimes {get; set;}
</v>
      </c>
      <c r="J18" s="1" t="str">
        <f t="shared" si="2"/>
        <v xml:space="preserve"> AND t1.REAL_TIMES = @REAL_TIMES</v>
      </c>
      <c r="K18" s="1" t="str">
        <f t="shared" si="3"/>
        <v>t1.REAL_TIMES        AS RealTimes,</v>
      </c>
      <c r="L18" s="1" t="str">
        <f t="shared" si="4"/>
        <v>,REAL_TIMES</v>
      </c>
      <c r="M18" s="1" t="str">
        <f t="shared" si="5"/>
        <v>,@REAL_TIMES</v>
      </c>
      <c r="N18" s="1" t="str">
        <f t="shared" si="6"/>
        <v xml:space="preserve">REAL_TIMES = @REAL_TIMES, </v>
      </c>
      <c r="O18" s="1" t="str">
        <f t="shared" si="9"/>
        <v>error += ExcelUtil.CheckValue(excelVo.RealTimes , "實際搬入時間", false, (null, null, ), (true, false, false), (false, false));</v>
      </c>
      <c r="P18" s="1" t="str">
        <f t="shared" si="10"/>
        <v>excelVo.RealTimes = StringUtil.IsNotEmpty(ExcelUtil.GetCell(sheet, i, j).ToString().TrimEnd())? ExcelUtil.GetCell(sheet, i, j).ToString().TrimEnd().ToUpper():"";j++;//實際搬入時間</v>
      </c>
      <c r="Q18" s="1" t="str">
        <f t="shared" si="11"/>
        <v>ExcelUtil.SetContent(sheet, row, column++, (string)item["realTimes"]);</v>
      </c>
      <c r="R18" s="1" t="str">
        <f t="shared" si="12"/>
        <v>paramDt.Add("@REAL_TIMES" , RealTimes );//int</v>
      </c>
      <c r="S18" s="1" t="str">
        <f t="shared" si="13"/>
        <v>paramDt.Add("@REAL_TIMES" , master.RealTimes );//實際搬入時間</v>
      </c>
      <c r="T18" s="1" t="str">
        <f t="shared" si="14"/>
        <v>{ name: 'realTimes' , sort: 'REAL_TIMES' },</v>
      </c>
      <c r="U18" s="1" t="str">
        <f t="shared" si="15"/>
        <v>"realTimes":"實際搬入時間",</v>
      </c>
      <c r="V18" s="1" t="str">
        <f t="shared" si="16"/>
        <v>this.vo.realTimes = '' ; //實際搬入時間</v>
      </c>
    </row>
    <row r="19" spans="1:22" ht="14.5" x14ac:dyDescent="0.4">
      <c r="A19" s="1" t="s">
        <v>106</v>
      </c>
      <c r="B19" s="1" t="s">
        <v>109</v>
      </c>
      <c r="C19" s="1" t="s">
        <v>116</v>
      </c>
      <c r="D19" s="1" t="s">
        <v>5</v>
      </c>
      <c r="E19" s="5">
        <v>2</v>
      </c>
      <c r="F19" s="1" t="str">
        <f t="shared" si="7"/>
        <v>skidLane</v>
      </c>
      <c r="G19" s="1" t="str">
        <f t="shared" si="0"/>
        <v>SkidLane</v>
      </c>
      <c r="H19" s="1" t="str">
        <f t="shared" si="17"/>
        <v>string</v>
      </c>
      <c r="I19" s="1" t="str">
        <f t="shared" si="8"/>
        <v xml:space="preserve">///&lt;summary&gt;
///SKID_LAND
///&lt;/summary&gt;
public string SkidLane {get; set;}
</v>
      </c>
      <c r="J19" s="1" t="str">
        <f t="shared" si="2"/>
        <v xml:space="preserve"> AND t1.SKID_LANE = @SKID_LANE</v>
      </c>
      <c r="K19" s="1" t="str">
        <f t="shared" si="3"/>
        <v>t1.SKID_LANE        AS SkidLane,</v>
      </c>
      <c r="L19" s="1" t="str">
        <f t="shared" si="4"/>
        <v>,SKID_LANE</v>
      </c>
      <c r="M19" s="1" t="str">
        <f t="shared" si="5"/>
        <v>,@SKID_LANE</v>
      </c>
      <c r="N19" s="1" t="str">
        <f t="shared" si="6"/>
        <v xml:space="preserve">SKID_LANE = @SKID_LANE, </v>
      </c>
      <c r="O19" s="1" t="str">
        <f t="shared" si="9"/>
        <v>error += ExcelUtil.CheckValue(excelVo.SkidLane , "SKID_LAND", false, (null, null, 2), (true, false, false), (false, false));</v>
      </c>
      <c r="P19" s="1" t="str">
        <f t="shared" si="10"/>
        <v>excelVo.SkidLane = StringUtil.IsNotEmpty(ExcelUtil.GetCell(sheet, i, j).ToString().TrimEnd())? ExcelUtil.GetCell(sheet, i, j).ToString().TrimEnd().ToUpper():"";j++;//SKID_LAND</v>
      </c>
      <c r="Q19" s="1" t="str">
        <f t="shared" si="11"/>
        <v>ExcelUtil.SetContent(sheet, row, column++, (string)item["skidLane"]);</v>
      </c>
      <c r="R19" s="1" t="str">
        <f t="shared" si="12"/>
        <v>paramDt.Add("@SKID_LANE" , SkidLane );//VARCHAR</v>
      </c>
      <c r="S19" s="1" t="str">
        <f t="shared" si="13"/>
        <v>paramDt.Add("@SKID_LANE" , master.SkidLane );//SKID_LAND</v>
      </c>
      <c r="T19" s="1" t="str">
        <f t="shared" si="14"/>
        <v>{ name: 'skidLane' , sort: 'SKID_LANE' },</v>
      </c>
      <c r="U19" s="1" t="str">
        <f t="shared" si="15"/>
        <v>"skidLane":"SKID_LAND",</v>
      </c>
      <c r="V19" s="1" t="str">
        <f t="shared" si="16"/>
        <v>this.vo.skidLane = '' ; //SKID_LAND</v>
      </c>
    </row>
    <row r="20" spans="1:22" ht="14.5" x14ac:dyDescent="0.4">
      <c r="A20" s="1" t="s">
        <v>106</v>
      </c>
      <c r="B20" s="1" t="s">
        <v>0</v>
      </c>
      <c r="C20" s="1" t="s">
        <v>7</v>
      </c>
      <c r="D20" s="1" t="s">
        <v>5</v>
      </c>
      <c r="E20" s="5">
        <v>20</v>
      </c>
      <c r="F20" s="1" t="str">
        <f t="shared" si="7"/>
        <v>createdBy</v>
      </c>
      <c r="G20" s="1" t="str">
        <f t="shared" si="0"/>
        <v>CreatedBy</v>
      </c>
      <c r="H20" s="1" t="str">
        <f t="shared" si="17"/>
        <v>string</v>
      </c>
      <c r="I20" s="1" t="str">
        <f t="shared" si="8"/>
        <v xml:space="preserve">///&lt;summary&gt;
///新增人員
///&lt;/summary&gt;
public string CreatedBy {get; set;}
</v>
      </c>
      <c r="J20" s="1" t="str">
        <f t="shared" si="2"/>
        <v xml:space="preserve"> AND t1.CREATED_BY = @CREATED_BY</v>
      </c>
      <c r="K20" s="1" t="str">
        <f t="shared" si="3"/>
        <v>t1.CREATED_BY        AS CreatedBy,</v>
      </c>
      <c r="L20" s="1" t="str">
        <f t="shared" si="4"/>
        <v>,CREATED_BY</v>
      </c>
      <c r="M20" s="1" t="str">
        <f t="shared" si="5"/>
        <v>,@CREATED_BY</v>
      </c>
      <c r="N20" s="1" t="str">
        <f t="shared" si="6"/>
        <v xml:space="preserve">CREATED_BY = @CREATED_BY, </v>
      </c>
      <c r="O20" s="1" t="str">
        <f t="shared" si="9"/>
        <v>error += ExcelUtil.CheckValue(excelVo.CreatedBy , "新增人員", false, (null, null, 20), (true, false, false), (false, false));</v>
      </c>
      <c r="P20" s="1" t="str">
        <f t="shared" si="10"/>
        <v>excelVo.CreatedBy = StringUtil.IsNotEmpty(ExcelUtil.GetCell(sheet, i, j).ToString().TrimEnd())? ExcelUtil.GetCell(sheet, i, j).ToString().TrimEnd().ToUpper():"";j++;//新增人員</v>
      </c>
      <c r="Q20" s="1" t="str">
        <f t="shared" si="11"/>
        <v>ExcelUtil.SetContent(sheet, row, column++, (string)item["createdBy"]);</v>
      </c>
      <c r="R20" s="1" t="str">
        <f t="shared" si="12"/>
        <v>paramDt.Add("@CREATED_BY" , CreatedBy );//VARCHAR</v>
      </c>
      <c r="S20" s="1" t="str">
        <f t="shared" si="13"/>
        <v>paramDt.Add("@CREATED_BY" , master.CreatedBy );//新增人員</v>
      </c>
      <c r="T20" s="1" t="str">
        <f t="shared" si="14"/>
        <v>{ name: 'createdBy' , sort: 'CREATED_BY' },</v>
      </c>
      <c r="U20" s="1" t="str">
        <f t="shared" si="15"/>
        <v>"createdBy":"新增人員",</v>
      </c>
      <c r="V20" s="1" t="str">
        <f t="shared" si="16"/>
        <v>this.vo.createdBy = '' ; //新增人員</v>
      </c>
    </row>
    <row r="21" spans="1:22" ht="14.5" x14ac:dyDescent="0.4">
      <c r="A21" s="1" t="s">
        <v>106</v>
      </c>
      <c r="B21" s="1" t="s">
        <v>1</v>
      </c>
      <c r="C21" s="1" t="s">
        <v>8</v>
      </c>
      <c r="D21" s="1" t="s">
        <v>118</v>
      </c>
      <c r="E21" s="5"/>
      <c r="F21" s="1" t="str">
        <f t="shared" si="7"/>
        <v>createdDt</v>
      </c>
      <c r="G21" s="1" t="str">
        <f t="shared" si="0"/>
        <v>CreatedDt</v>
      </c>
      <c r="H21" s="1" t="str">
        <f t="shared" si="17"/>
        <v>DateTime?</v>
      </c>
      <c r="I21" s="1" t="str">
        <f t="shared" si="8"/>
        <v xml:space="preserve">///&lt;summary&gt;
///新增日期時間
///&lt;/summary&gt;
public DateTime? CreatedDt {get; set;}
</v>
      </c>
      <c r="J21" s="1" t="str">
        <f t="shared" si="2"/>
        <v xml:space="preserve"> AND t1.CREATED_DT = @CREATED_DT</v>
      </c>
      <c r="K21" s="1" t="str">
        <f t="shared" si="3"/>
        <v>t1.CREATED_DT        AS CreatedDt,</v>
      </c>
      <c r="L21" s="1" t="str">
        <f t="shared" si="4"/>
        <v>,CREATED_DT</v>
      </c>
      <c r="M21" s="1" t="str">
        <f t="shared" si="5"/>
        <v>,@CREATED_DT</v>
      </c>
      <c r="N21" s="1" t="str">
        <f t="shared" si="6"/>
        <v xml:space="preserve">CREATED_DT = @CREATED_DT, </v>
      </c>
      <c r="O21" s="1" t="str">
        <f t="shared" si="9"/>
        <v>error += ExcelUtil.CheckValue(excelVo.CreatedDt , "新增日期時間", false, (null, null, ), (true, false, false), (false, false));</v>
      </c>
      <c r="P21" s="1" t="str">
        <f t="shared" si="10"/>
        <v>excelVo.CreatedDt = StringUtil.IsNotEmpty(ExcelUtil.GetCell(sheet, i, j).ToString().TrimEnd())? ExcelUtil.GetCell(sheet, i, j).ToString().TrimEnd().ToUpper():"";j++;//新增日期時間</v>
      </c>
      <c r="Q21" s="1" t="str">
        <f t="shared" si="11"/>
        <v>ExcelUtil.SetContent(sheet, row, column++, (string)item["createdDt"]);</v>
      </c>
      <c r="R21" s="1" t="str">
        <f t="shared" si="12"/>
        <v>paramDt.Add("@CREATED_DT" , CreatedDt );//datetime</v>
      </c>
      <c r="S21" s="1" t="str">
        <f t="shared" si="13"/>
        <v>paramDt.Add("@CREATED_DT" , master.CreatedDt );//新增日期時間</v>
      </c>
      <c r="T21" s="1" t="str">
        <f t="shared" si="14"/>
        <v>{ name: 'createdDt' , sort: 'CREATED_DT' },</v>
      </c>
      <c r="U21" s="1" t="str">
        <f t="shared" si="15"/>
        <v>"createdDt":"新增日期時間",</v>
      </c>
      <c r="V21" s="1" t="str">
        <f t="shared" si="16"/>
        <v>this.vo.createdDt = '' ; //新增日期時間</v>
      </c>
    </row>
    <row r="22" spans="1:22" ht="14.5" x14ac:dyDescent="0.4">
      <c r="A22" s="1" t="s">
        <v>106</v>
      </c>
      <c r="B22" s="1" t="s">
        <v>2</v>
      </c>
      <c r="C22" s="1" t="s">
        <v>10</v>
      </c>
      <c r="D22" s="1" t="s">
        <v>5</v>
      </c>
      <c r="E22" s="5">
        <v>20</v>
      </c>
      <c r="F22" s="1" t="str">
        <f t="shared" si="7"/>
        <v>updatedBy</v>
      </c>
      <c r="G22" s="1" t="str">
        <f t="shared" si="0"/>
        <v>UpdatedBy</v>
      </c>
      <c r="H22" s="1" t="str">
        <f t="shared" si="17"/>
        <v>string</v>
      </c>
      <c r="I22" s="1" t="str">
        <f t="shared" si="8"/>
        <v xml:space="preserve">///&lt;summary&gt;
///更新人員
///&lt;/summary&gt;
public string UpdatedBy {get; set;}
</v>
      </c>
      <c r="J22" s="1" t="str">
        <f t="shared" si="2"/>
        <v xml:space="preserve"> AND t1.UPDATED_BY = @UPDATED_BY</v>
      </c>
      <c r="K22" s="1" t="str">
        <f t="shared" si="3"/>
        <v>t1.UPDATED_BY        AS UpdatedBy,</v>
      </c>
      <c r="L22" s="1" t="str">
        <f t="shared" si="4"/>
        <v>,UPDATED_BY</v>
      </c>
      <c r="M22" s="1" t="str">
        <f t="shared" si="5"/>
        <v>,@UPDATED_BY</v>
      </c>
      <c r="N22" s="1" t="str">
        <f t="shared" si="6"/>
        <v xml:space="preserve">UPDATED_BY = @UPDATED_BY, </v>
      </c>
      <c r="O22" s="1" t="str">
        <f t="shared" si="9"/>
        <v>error += ExcelUtil.CheckValue(excelVo.UpdatedBy , "更新人員", false, (null, null, 20), (true, false, false), (false, false));</v>
      </c>
      <c r="P22" s="1" t="str">
        <f t="shared" si="10"/>
        <v>excelVo.UpdatedBy = StringUtil.IsNotEmpty(ExcelUtil.GetCell(sheet, i, j).ToString().TrimEnd())? ExcelUtil.GetCell(sheet, i, j).ToString().TrimEnd().ToUpper():"";j++;//更新人員</v>
      </c>
      <c r="Q22" s="1" t="str">
        <f t="shared" si="11"/>
        <v>ExcelUtil.SetContent(sheet, row, column++, (string)item["updatedBy"]);</v>
      </c>
      <c r="R22" s="1" t="str">
        <f t="shared" si="12"/>
        <v>paramDt.Add("@UPDATED_BY" , UpdatedBy );//VARCHAR</v>
      </c>
      <c r="S22" s="1" t="str">
        <f t="shared" si="13"/>
        <v>paramDt.Add("@UPDATED_BY" , master.UpdatedBy );//更新人員</v>
      </c>
      <c r="T22" s="1" t="str">
        <f t="shared" si="14"/>
        <v>{ name: 'updatedBy' , sort: 'UPDATED_BY' },</v>
      </c>
      <c r="U22" s="1" t="str">
        <f t="shared" si="15"/>
        <v>"updatedBy":"更新人員",</v>
      </c>
      <c r="V22" s="1" t="str">
        <f t="shared" si="16"/>
        <v>this.vo.updatedBy = '' ; //更新人員</v>
      </c>
    </row>
    <row r="23" spans="1:22" ht="14.5" x14ac:dyDescent="0.4">
      <c r="A23" s="1" t="s">
        <v>106</v>
      </c>
      <c r="B23" s="1" t="s">
        <v>3</v>
      </c>
      <c r="C23" s="1" t="s">
        <v>11</v>
      </c>
      <c r="D23" s="1" t="s">
        <v>118</v>
      </c>
      <c r="E23" s="5"/>
      <c r="F23" s="1" t="str">
        <f t="shared" si="7"/>
        <v>updatedDt</v>
      </c>
      <c r="G23" s="1" t="str">
        <f t="shared" si="0"/>
        <v>UpdatedDt</v>
      </c>
      <c r="H23" s="1" t="str">
        <f t="shared" si="17"/>
        <v>DateTime?</v>
      </c>
      <c r="I23" s="1" t="str">
        <f t="shared" si="8"/>
        <v xml:space="preserve">///&lt;summary&gt;
///更新日期時間
///&lt;/summary&gt;
public DateTime? UpdatedDt {get; set;}
</v>
      </c>
      <c r="J23" s="1" t="str">
        <f t="shared" si="2"/>
        <v xml:space="preserve"> AND t1.UPDATED_DT = @UPDATED_DT</v>
      </c>
      <c r="K23" s="1" t="str">
        <f t="shared" si="3"/>
        <v>t1.UPDATED_DT        AS UpdatedDt,</v>
      </c>
      <c r="L23" s="1" t="str">
        <f t="shared" si="4"/>
        <v>,UPDATED_DT</v>
      </c>
      <c r="M23" s="1" t="str">
        <f t="shared" si="5"/>
        <v>,@UPDATED_DT</v>
      </c>
      <c r="N23" s="1" t="str">
        <f t="shared" si="6"/>
        <v xml:space="preserve">UPDATED_DT = @UPDATED_DT, </v>
      </c>
      <c r="O23" s="1" t="str">
        <f t="shared" si="9"/>
        <v>error += ExcelUtil.CheckValue(excelVo.UpdatedDt , "更新日期時間", false, (null, null, ), (true, false, false), (false, false));</v>
      </c>
      <c r="P23" s="1" t="str">
        <f t="shared" si="10"/>
        <v>excelVo.UpdatedDt = StringUtil.IsNotEmpty(ExcelUtil.GetCell(sheet, i, j).ToString().TrimEnd())? ExcelUtil.GetCell(sheet, i, j).ToString().TrimEnd().ToUpper():"";j++;//更新日期時間</v>
      </c>
      <c r="Q23" s="1" t="str">
        <f t="shared" si="11"/>
        <v>ExcelUtil.SetContent(sheet, row, column++, (string)item["updatedDt"]);</v>
      </c>
      <c r="R23" s="1" t="str">
        <f t="shared" si="12"/>
        <v>paramDt.Add("@UPDATED_DT" , UpdatedDt );//datetime</v>
      </c>
      <c r="S23" s="1" t="str">
        <f t="shared" si="13"/>
        <v>paramDt.Add("@UPDATED_DT" , master.UpdatedDt );//更新日期時間</v>
      </c>
      <c r="T23" s="1" t="str">
        <f t="shared" si="14"/>
        <v>{ name: 'updatedDt' , sort: 'UPDATED_DT' },</v>
      </c>
      <c r="U23" s="1" t="str">
        <f t="shared" si="15"/>
        <v>"updatedDt":"更新日期時間",</v>
      </c>
      <c r="V23" s="1" t="str">
        <f t="shared" si="16"/>
        <v>this.vo.updatedDt = '' ; //更新日期時間</v>
      </c>
    </row>
    <row r="24" spans="1:22" ht="14.5" x14ac:dyDescent="0.4">
      <c r="A24" s="1" t="s">
        <v>106</v>
      </c>
      <c r="B24" s="1" t="s">
        <v>4</v>
      </c>
      <c r="C24" s="1" t="s">
        <v>12</v>
      </c>
      <c r="D24" s="1" t="s">
        <v>5</v>
      </c>
      <c r="E24" s="5">
        <v>30</v>
      </c>
      <c r="F24" s="1" t="str">
        <f t="shared" si="7"/>
        <v>funcId</v>
      </c>
      <c r="G24" s="1" t="str">
        <f t="shared" si="0"/>
        <v>FuncId</v>
      </c>
      <c r="H24" s="1" t="str">
        <f t="shared" si="17"/>
        <v>string</v>
      </c>
      <c r="I24" s="1" t="str">
        <f t="shared" si="8"/>
        <v xml:space="preserve">///&lt;summary&gt;
///更新作業FunctionID
///&lt;/summary&gt;
public string FuncId {get; set;}
</v>
      </c>
      <c r="J24" s="1" t="str">
        <f t="shared" si="2"/>
        <v xml:space="preserve"> AND t1.FUNC_ID = @FUNC_ID</v>
      </c>
      <c r="K24" s="1" t="str">
        <f t="shared" si="3"/>
        <v>t1.FUNC_ID        AS FuncId,</v>
      </c>
      <c r="L24" s="1" t="str">
        <f t="shared" si="4"/>
        <v>,FUNC_ID</v>
      </c>
      <c r="M24" s="1" t="str">
        <f t="shared" si="5"/>
        <v>,@FUNC_ID</v>
      </c>
      <c r="N24" s="1" t="str">
        <f t="shared" si="6"/>
        <v xml:space="preserve">FUNC_ID = @FUNC_ID, </v>
      </c>
      <c r="O24" s="1" t="str">
        <f t="shared" si="9"/>
        <v>error += ExcelUtil.CheckValue(excelVo.FuncId , "更新作業FunctionID", false, (null, null, 30), (true, false, false), (false, false));</v>
      </c>
      <c r="P24" s="1" t="str">
        <f t="shared" si="10"/>
        <v>excelVo.FuncId = StringUtil.IsNotEmpty(ExcelUtil.GetCell(sheet, i, j).ToString().TrimEnd())? ExcelUtil.GetCell(sheet, i, j).ToString().TrimEnd().ToUpper():"";j++;//更新作業FunctionID</v>
      </c>
      <c r="Q24" s="1" t="str">
        <f t="shared" si="11"/>
        <v>ExcelUtil.SetContent(sheet, row, column++, (string)item["funcId"]);</v>
      </c>
      <c r="R24" s="1" t="str">
        <f t="shared" si="12"/>
        <v>paramDt.Add("@FUNC_ID" , FuncId );//VARCHAR</v>
      </c>
      <c r="S24" s="1" t="str">
        <f t="shared" si="13"/>
        <v>paramDt.Add("@FUNC_ID" , master.FuncId );//更新作業FunctionID</v>
      </c>
      <c r="T24" s="1" t="str">
        <f t="shared" si="14"/>
        <v>{ name: 'funcId' , sort: 'FUNC_ID' },</v>
      </c>
      <c r="U24" s="1" t="str">
        <f t="shared" si="15"/>
        <v>"funcId":"更新作業FunctionID",</v>
      </c>
      <c r="V24" s="1" t="str">
        <f t="shared" si="16"/>
        <v>this.vo.funcId = '' ; //更新作業FunctionID</v>
      </c>
    </row>
    <row r="25" spans="1:22" ht="14.5" x14ac:dyDescent="0.4">
      <c r="A25" s="1" t="s">
        <v>106</v>
      </c>
      <c r="D25" s="1" t="s">
        <v>5</v>
      </c>
      <c r="E25" s="5">
        <v>30</v>
      </c>
      <c r="F25" s="1" t="str">
        <f t="shared" si="7"/>
        <v/>
      </c>
      <c r="G25" s="1" t="str">
        <f t="shared" si="0"/>
        <v/>
      </c>
      <c r="H25" s="1" t="str">
        <f t="shared" si="17"/>
        <v>string</v>
      </c>
      <c r="I25" s="1" t="str">
        <f t="shared" si="8"/>
        <v xml:space="preserve">///&lt;summary&gt;
///
///&lt;/summary&gt;
public string  {get; set;}
</v>
      </c>
      <c r="J25" s="1" t="str">
        <f t="shared" si="2"/>
        <v xml:space="preserve"> AND t1. = @</v>
      </c>
      <c r="K25" s="1" t="str">
        <f t="shared" si="3"/>
        <v>t1.        AS ,</v>
      </c>
      <c r="L25" s="1" t="str">
        <f t="shared" si="4"/>
        <v>,</v>
      </c>
      <c r="M25" s="1" t="str">
        <f t="shared" si="5"/>
        <v>,@</v>
      </c>
      <c r="N25" s="1" t="str">
        <f t="shared" si="6"/>
        <v xml:space="preserve"> = @, </v>
      </c>
      <c r="O25" s="1" t="str">
        <f t="shared" si="9"/>
        <v>error += ExcelUtil.CheckValue(excelVo. , "", false, (null, null, 30), (true, false, false), (false, false));</v>
      </c>
      <c r="P25" s="1" t="str">
        <f t="shared" si="10"/>
        <v>excelVo. = StringUtil.IsNotEmpty(ExcelUtil.GetCell(sheet, i, j).ToString().TrimEnd())? ExcelUtil.GetCell(sheet, i, j).ToString().TrimEnd().ToUpper():"";j++;//</v>
      </c>
      <c r="Q25" s="1" t="str">
        <f t="shared" si="11"/>
        <v>ExcelUtil.SetContent(sheet, row, column++, (string)item[""]);</v>
      </c>
      <c r="R25" s="1" t="str">
        <f t="shared" si="12"/>
        <v>paramDt.Add("@" ,  );//VARCHAR</v>
      </c>
      <c r="S25" s="1" t="str">
        <f t="shared" si="13"/>
        <v>paramDt.Add("@" , master. );//</v>
      </c>
      <c r="T25" s="1" t="str">
        <f t="shared" si="14"/>
        <v>{ name: '' , sort: '' },</v>
      </c>
      <c r="U25" s="1" t="str">
        <f t="shared" si="15"/>
        <v>"":"",</v>
      </c>
      <c r="V25" s="1" t="str">
        <f t="shared" si="16"/>
        <v>this.vo. = '' ; //</v>
      </c>
    </row>
    <row r="26" spans="1:22" ht="14.5" x14ac:dyDescent="0.4">
      <c r="A26" s="1" t="s">
        <v>106</v>
      </c>
      <c r="D26" s="1" t="s">
        <v>5</v>
      </c>
      <c r="E26" s="5">
        <v>20</v>
      </c>
      <c r="F26" s="1" t="str">
        <f t="shared" si="7"/>
        <v/>
      </c>
      <c r="G26" s="1" t="str">
        <f t="shared" si="0"/>
        <v/>
      </c>
      <c r="H26" s="1" t="str">
        <f t="shared" si="17"/>
        <v>string</v>
      </c>
      <c r="I26" s="1" t="str">
        <f t="shared" si="8"/>
        <v xml:space="preserve">///&lt;summary&gt;
///
///&lt;/summary&gt;
public string  {get; set;}
</v>
      </c>
      <c r="J26" s="1" t="str">
        <f t="shared" si="2"/>
        <v xml:space="preserve"> AND t1. = @</v>
      </c>
      <c r="K26" s="1" t="str">
        <f t="shared" si="3"/>
        <v>t1.        AS ,</v>
      </c>
      <c r="L26" s="1" t="str">
        <f t="shared" si="4"/>
        <v>,</v>
      </c>
      <c r="M26" s="1" t="str">
        <f t="shared" si="5"/>
        <v>,@</v>
      </c>
      <c r="N26" s="1" t="str">
        <f t="shared" si="6"/>
        <v xml:space="preserve"> = @, </v>
      </c>
      <c r="O26" s="1" t="str">
        <f t="shared" si="9"/>
        <v>error += ExcelUtil.CheckValue(excelVo. , "", false, (null, null, 20), (true, false, false), (false, false));</v>
      </c>
      <c r="P26" s="1" t="str">
        <f t="shared" si="10"/>
        <v>excelVo. = StringUtil.IsNotEmpty(ExcelUtil.GetCell(sheet, i, j).ToString().TrimEnd())? ExcelUtil.GetCell(sheet, i, j).ToString().TrimEnd().ToUpper():"";j++;//</v>
      </c>
      <c r="Q26" s="1" t="str">
        <f t="shared" si="11"/>
        <v>ExcelUtil.SetContent(sheet, row, column++, (string)item[""]);</v>
      </c>
      <c r="R26" s="1" t="str">
        <f t="shared" si="12"/>
        <v>paramDt.Add("@" ,  );//VARCHAR</v>
      </c>
      <c r="S26" s="1" t="str">
        <f t="shared" si="13"/>
        <v>paramDt.Add("@" , master. );//</v>
      </c>
      <c r="T26" s="1" t="str">
        <f t="shared" si="14"/>
        <v>{ name: '' , sort: '' },</v>
      </c>
      <c r="U26" s="1" t="str">
        <f t="shared" si="15"/>
        <v>"":"",</v>
      </c>
      <c r="V26" s="1" t="str">
        <f t="shared" si="16"/>
        <v>this.vo. = '' ; //</v>
      </c>
    </row>
    <row r="27" spans="1:22" ht="14.5" x14ac:dyDescent="0.4">
      <c r="A27" s="1" t="s">
        <v>106</v>
      </c>
      <c r="D27" s="1" t="s">
        <v>9</v>
      </c>
      <c r="E27" s="5"/>
      <c r="F27" s="1" t="str">
        <f t="shared" si="7"/>
        <v/>
      </c>
      <c r="G27" s="1" t="str">
        <f t="shared" si="0"/>
        <v/>
      </c>
      <c r="H27" s="1" t="str">
        <f t="shared" si="17"/>
        <v>DateTime?</v>
      </c>
      <c r="I27" s="1" t="str">
        <f t="shared" si="8"/>
        <v xml:space="preserve">///&lt;summary&gt;
///
///&lt;/summary&gt;
public DateTime?  {get; set;}
</v>
      </c>
      <c r="J27" s="1" t="str">
        <f t="shared" si="2"/>
        <v xml:space="preserve"> AND t1. = @</v>
      </c>
      <c r="K27" s="1" t="str">
        <f t="shared" si="3"/>
        <v>t1.        AS ,</v>
      </c>
      <c r="L27" s="1" t="str">
        <f t="shared" si="4"/>
        <v>,</v>
      </c>
      <c r="M27" s="1" t="str">
        <f t="shared" si="5"/>
        <v>,@</v>
      </c>
      <c r="N27" s="1" t="str">
        <f t="shared" si="6"/>
        <v xml:space="preserve"> = @, </v>
      </c>
      <c r="O27" s="1" t="str">
        <f t="shared" si="9"/>
        <v>error += ExcelUtil.CheckValue(excelVo. , "", false, (null, null, ), (true, false, false), (false, false));</v>
      </c>
      <c r="P27" s="1" t="str">
        <f t="shared" si="10"/>
        <v>excelVo. = StringUtil.IsNotEmpty(ExcelUtil.GetCell(sheet, i, j).ToString().TrimEnd())? ExcelUtil.GetCell(sheet, i, j).ToString().TrimEnd().ToUpper():"";j++;//</v>
      </c>
      <c r="Q27" s="1" t="str">
        <f t="shared" si="11"/>
        <v>ExcelUtil.SetContent(sheet, row, column++, (string)item[""]);</v>
      </c>
      <c r="R27" s="1" t="str">
        <f t="shared" si="12"/>
        <v>paramDt.Add("@" ,  );//DATETIME</v>
      </c>
      <c r="S27" s="1" t="str">
        <f t="shared" si="13"/>
        <v>paramDt.Add("@" , master. );//</v>
      </c>
      <c r="T27" s="1" t="str">
        <f t="shared" si="14"/>
        <v>{ name: '' , sort: '' },</v>
      </c>
      <c r="U27" s="1" t="str">
        <f t="shared" si="15"/>
        <v>"":"",</v>
      </c>
      <c r="V27" s="1" t="str">
        <f t="shared" si="16"/>
        <v>this.vo. = '' ; //</v>
      </c>
    </row>
    <row r="28" spans="1:22" ht="14.5" x14ac:dyDescent="0.4">
      <c r="A28" s="1" t="s">
        <v>106</v>
      </c>
      <c r="D28" s="1" t="s">
        <v>5</v>
      </c>
      <c r="E28" s="5">
        <v>30</v>
      </c>
      <c r="F28" s="1" t="str">
        <f t="shared" si="7"/>
        <v/>
      </c>
      <c r="G28" s="1" t="str">
        <f t="shared" si="0"/>
        <v/>
      </c>
      <c r="H28" s="1" t="str">
        <f t="shared" si="17"/>
        <v>string</v>
      </c>
      <c r="I28" s="1" t="str">
        <f t="shared" si="8"/>
        <v xml:space="preserve">///&lt;summary&gt;
///
///&lt;/summary&gt;
public string  {get; set;}
</v>
      </c>
      <c r="J28" s="1" t="str">
        <f t="shared" si="2"/>
        <v xml:space="preserve"> AND t1. = @</v>
      </c>
      <c r="K28" s="1" t="str">
        <f t="shared" si="3"/>
        <v>t1.        AS ,</v>
      </c>
      <c r="L28" s="1" t="str">
        <f t="shared" si="4"/>
        <v>,</v>
      </c>
      <c r="M28" s="1" t="str">
        <f t="shared" si="5"/>
        <v>,@</v>
      </c>
      <c r="N28" s="1" t="str">
        <f t="shared" si="6"/>
        <v xml:space="preserve"> = @, </v>
      </c>
      <c r="O28" s="1" t="str">
        <f t="shared" si="9"/>
        <v>error += ExcelUtil.CheckValue(excelVo. , "", false, (null, null, 30), (true, false, false), (false, false));</v>
      </c>
      <c r="P28" s="1" t="str">
        <f t="shared" si="10"/>
        <v>excelVo. = StringUtil.IsNotEmpty(ExcelUtil.GetCell(sheet, i, j).ToString().TrimEnd())? ExcelUtil.GetCell(sheet, i, j).ToString().TrimEnd().ToUpper():"";j++;//</v>
      </c>
      <c r="Q28" s="1" t="str">
        <f t="shared" si="11"/>
        <v>ExcelUtil.SetContent(sheet, row, column++, (string)item[""]);</v>
      </c>
      <c r="R28" s="1" t="str">
        <f t="shared" si="12"/>
        <v>paramDt.Add("@" ,  );//VARCHAR</v>
      </c>
      <c r="S28" s="1" t="str">
        <f t="shared" si="13"/>
        <v>paramDt.Add("@" , master. );//</v>
      </c>
      <c r="T28" s="1" t="str">
        <f t="shared" si="14"/>
        <v>{ name: '' , sort: '' },</v>
      </c>
      <c r="U28" s="1" t="str">
        <f t="shared" si="15"/>
        <v>"":"",</v>
      </c>
      <c r="V28" s="1" t="str">
        <f t="shared" si="16"/>
        <v>this.vo. = '' ; //</v>
      </c>
    </row>
    <row r="29" spans="1:22" ht="14.5" x14ac:dyDescent="0.4">
      <c r="A29" s="1" t="s">
        <v>106</v>
      </c>
      <c r="D29" s="1" t="s">
        <v>5</v>
      </c>
      <c r="E29" s="5">
        <v>30</v>
      </c>
      <c r="F29" s="1" t="str">
        <f t="shared" si="7"/>
        <v/>
      </c>
      <c r="G29" s="1" t="str">
        <f t="shared" si="0"/>
        <v/>
      </c>
      <c r="H29" s="1" t="str">
        <f t="shared" si="17"/>
        <v>string</v>
      </c>
      <c r="I29" s="1" t="str">
        <f t="shared" si="8"/>
        <v xml:space="preserve">///&lt;summary&gt;
///
///&lt;/summary&gt;
public string  {get; set;}
</v>
      </c>
      <c r="J29" s="1" t="str">
        <f t="shared" si="2"/>
        <v xml:space="preserve"> AND t1. = @</v>
      </c>
      <c r="K29" s="1" t="str">
        <f t="shared" si="3"/>
        <v>t1.        AS ,</v>
      </c>
      <c r="L29" s="1" t="str">
        <f t="shared" si="4"/>
        <v>,</v>
      </c>
      <c r="M29" s="1" t="str">
        <f t="shared" si="5"/>
        <v>,@</v>
      </c>
      <c r="N29" s="1" t="str">
        <f t="shared" si="6"/>
        <v xml:space="preserve"> = @, </v>
      </c>
      <c r="O29" s="1" t="str">
        <f t="shared" si="9"/>
        <v>error += ExcelUtil.CheckValue(excelVo. , "", false, (null, null, 30), (true, false, false), (false, false));</v>
      </c>
      <c r="P29" s="1" t="str">
        <f t="shared" si="10"/>
        <v>excelVo. = StringUtil.IsNotEmpty(ExcelUtil.GetCell(sheet, i, j).ToString().TrimEnd())? ExcelUtil.GetCell(sheet, i, j).ToString().TrimEnd().ToUpper():"";j++;//</v>
      </c>
      <c r="Q29" s="1" t="str">
        <f t="shared" si="11"/>
        <v>ExcelUtil.SetContent(sheet, row, column++, (string)item[""]);</v>
      </c>
      <c r="R29" s="1" t="str">
        <f t="shared" si="12"/>
        <v>paramDt.Add("@" ,  );//VARCHAR</v>
      </c>
      <c r="S29" s="1" t="str">
        <f t="shared" si="13"/>
        <v>paramDt.Add("@" , master. );//</v>
      </c>
      <c r="T29" s="1" t="str">
        <f t="shared" si="14"/>
        <v>{ name: '' , sort: '' },</v>
      </c>
      <c r="U29" s="1" t="str">
        <f t="shared" si="15"/>
        <v>"":"",</v>
      </c>
      <c r="V29" s="1" t="str">
        <f t="shared" si="16"/>
        <v>this.vo. = '' ; //</v>
      </c>
    </row>
    <row r="30" spans="1:22" x14ac:dyDescent="0.4">
      <c r="A30" s="1" t="s">
        <v>106</v>
      </c>
      <c r="D30" s="1" t="s">
        <v>5</v>
      </c>
      <c r="H30" s="1" t="str">
        <f t="shared" si="17"/>
        <v>string</v>
      </c>
      <c r="I30" s="1" t="str">
        <f t="shared" si="8"/>
        <v xml:space="preserve">///&lt;summary&gt;
///
///&lt;/summary&gt;
public string  {get; set;}
</v>
      </c>
      <c r="J30" s="1" t="str">
        <f t="shared" si="2"/>
        <v xml:space="preserve"> AND t1. = @</v>
      </c>
      <c r="K30" s="1" t="str">
        <f t="shared" si="3"/>
        <v>t1.        AS ,</v>
      </c>
      <c r="L30" s="1" t="str">
        <f t="shared" si="4"/>
        <v>,</v>
      </c>
      <c r="M30" s="1" t="str">
        <f t="shared" si="5"/>
        <v>,@</v>
      </c>
      <c r="N30" s="1" t="str">
        <f t="shared" si="6"/>
        <v xml:space="preserve"> = @, </v>
      </c>
      <c r="O30" s="1" t="str">
        <f t="shared" si="9"/>
        <v>error += ExcelUtil.CheckValue(excelVo. , "", false, (null, null, ), (true, false, false), (false, false));</v>
      </c>
      <c r="P30" s="1" t="str">
        <f t="shared" si="10"/>
        <v>excelVo. = StringUtil.IsNotEmpty(ExcelUtil.GetCell(sheet, i, j).ToString().TrimEnd())? ExcelUtil.GetCell(sheet, i, j).ToString().TrimEnd().ToUpper():"";j++;//</v>
      </c>
      <c r="Q30" s="1" t="str">
        <f t="shared" si="11"/>
        <v>ExcelUtil.SetContent(sheet, row, column++, (string)item[""]);</v>
      </c>
      <c r="R30" s="1" t="str">
        <f t="shared" si="12"/>
        <v>paramDt.Add("@" ,  );//VARCHAR</v>
      </c>
      <c r="S30" s="1" t="str">
        <f t="shared" si="13"/>
        <v>paramDt.Add("@" , master. );//</v>
      </c>
      <c r="T30" s="1" t="str">
        <f t="shared" ref="T30:T88" si="18">"{ name: '"&amp;F30&amp;"' , sort: '"&amp;F30&amp;"' },"</f>
        <v>{ name: '' , sort: '' },</v>
      </c>
      <c r="U30" s="1" t="str">
        <f t="shared" si="15"/>
        <v>"":"",</v>
      </c>
      <c r="V30" s="1" t="str">
        <f t="shared" si="16"/>
        <v>this.vo. = '' ; //</v>
      </c>
    </row>
    <row r="31" spans="1:22" x14ac:dyDescent="0.4">
      <c r="A31" s="1" t="s">
        <v>106</v>
      </c>
      <c r="D31" s="1" t="s">
        <v>5</v>
      </c>
      <c r="H31" s="1" t="str">
        <f t="shared" si="17"/>
        <v>string</v>
      </c>
      <c r="I31" s="1" t="str">
        <f t="shared" si="8"/>
        <v xml:space="preserve">///&lt;summary&gt;
///
///&lt;/summary&gt;
public string  {get; set;}
</v>
      </c>
      <c r="J31" s="1" t="str">
        <f t="shared" si="2"/>
        <v xml:space="preserve"> AND t1. = @</v>
      </c>
      <c r="K31" s="1" t="str">
        <f t="shared" si="3"/>
        <v>t1.        AS ,</v>
      </c>
      <c r="L31" s="1" t="str">
        <f t="shared" si="4"/>
        <v>,</v>
      </c>
      <c r="M31" s="1" t="str">
        <f t="shared" si="5"/>
        <v>,@</v>
      </c>
      <c r="N31" s="1" t="str">
        <f t="shared" si="6"/>
        <v xml:space="preserve"> = @, </v>
      </c>
      <c r="O31" s="1" t="str">
        <f t="shared" si="9"/>
        <v>error += ExcelUtil.CheckValue(excelVo. , "", false, (null, null, ), (true, false, false), (false, false));</v>
      </c>
      <c r="P31" s="1" t="str">
        <f t="shared" si="10"/>
        <v>excelVo. = StringUtil.IsNotEmpty(ExcelUtil.GetCell(sheet, i, j).ToString().TrimEnd())? ExcelUtil.GetCell(sheet, i, j).ToString().TrimEnd().ToUpper():"";j++;//</v>
      </c>
      <c r="Q31" s="1" t="str">
        <f t="shared" si="11"/>
        <v>ExcelUtil.SetContent(sheet, row, column++, (string)item[""]);</v>
      </c>
      <c r="R31" s="1" t="str">
        <f t="shared" si="12"/>
        <v>paramDt.Add("@" ,  );//VARCHAR</v>
      </c>
      <c r="S31" s="1" t="str">
        <f t="shared" si="13"/>
        <v>paramDt.Add("@" , master. );//</v>
      </c>
      <c r="T31" s="1" t="str">
        <f t="shared" si="18"/>
        <v>{ name: '' , sort: '' },</v>
      </c>
      <c r="U31" s="1" t="str">
        <f t="shared" si="15"/>
        <v>"":"",</v>
      </c>
      <c r="V31" s="1" t="str">
        <f t="shared" si="16"/>
        <v>this.vo. = '' ; //</v>
      </c>
    </row>
    <row r="32" spans="1:22" x14ac:dyDescent="0.4">
      <c r="A32" s="1" t="s">
        <v>106</v>
      </c>
      <c r="D32" s="1" t="s">
        <v>5</v>
      </c>
      <c r="H32" s="1" t="str">
        <f t="shared" si="17"/>
        <v>string</v>
      </c>
      <c r="I32" s="1" t="str">
        <f t="shared" si="8"/>
        <v xml:space="preserve">///&lt;summary&gt;
///
///&lt;/summary&gt;
public string  {get; set;}
</v>
      </c>
      <c r="J32" s="1" t="str">
        <f t="shared" si="2"/>
        <v xml:space="preserve"> AND t1. = @</v>
      </c>
      <c r="K32" s="1" t="str">
        <f t="shared" si="3"/>
        <v>t1.        AS ,</v>
      </c>
      <c r="L32" s="1" t="str">
        <f t="shared" si="4"/>
        <v>,</v>
      </c>
      <c r="M32" s="1" t="str">
        <f t="shared" si="5"/>
        <v>,@</v>
      </c>
      <c r="N32" s="1" t="str">
        <f t="shared" si="6"/>
        <v xml:space="preserve"> = @, </v>
      </c>
      <c r="O32" s="1" t="str">
        <f t="shared" si="9"/>
        <v>error += ExcelUtil.CheckValue(excelVo. , "", false, (null, null, ), (true, false, false), (false, false));</v>
      </c>
      <c r="P32" s="1" t="str">
        <f t="shared" si="10"/>
        <v>excelVo. = StringUtil.IsNotEmpty(ExcelUtil.GetCell(sheet, i, j).ToString().TrimEnd())? ExcelUtil.GetCell(sheet, i, j).ToString().TrimEnd().ToUpper():"";j++;//</v>
      </c>
      <c r="Q32" s="1" t="str">
        <f t="shared" si="11"/>
        <v>ExcelUtil.SetContent(sheet, row, column++, (string)item[""]);</v>
      </c>
      <c r="R32" s="1" t="str">
        <f t="shared" si="12"/>
        <v>paramDt.Add("@" ,  );//VARCHAR</v>
      </c>
      <c r="S32" s="1" t="str">
        <f t="shared" si="13"/>
        <v>paramDt.Add("@" , master. );//</v>
      </c>
      <c r="T32" s="1" t="str">
        <f t="shared" si="18"/>
        <v>{ name: '' , sort: '' },</v>
      </c>
      <c r="U32" s="1" t="str">
        <f t="shared" si="15"/>
        <v>"":"",</v>
      </c>
      <c r="V32" s="1" t="str">
        <f t="shared" si="16"/>
        <v>this.vo. = '' ; //</v>
      </c>
    </row>
    <row r="33" spans="1:22" x14ac:dyDescent="0.4">
      <c r="A33" s="1" t="s">
        <v>106</v>
      </c>
      <c r="D33" s="1" t="s">
        <v>6</v>
      </c>
      <c r="H33" s="1" t="str">
        <f t="shared" si="17"/>
        <v>decimal?</v>
      </c>
      <c r="I33" s="1" t="str">
        <f t="shared" si="8"/>
        <v xml:space="preserve">///&lt;summary&gt;
///
///&lt;/summary&gt;
public decimal?  {get; set;}
</v>
      </c>
      <c r="J33" s="1" t="str">
        <f t="shared" si="2"/>
        <v xml:space="preserve"> AND t1. = @</v>
      </c>
      <c r="K33" s="1" t="str">
        <f t="shared" si="3"/>
        <v>t1.        AS ,</v>
      </c>
      <c r="L33" s="1" t="str">
        <f t="shared" si="4"/>
        <v>,</v>
      </c>
      <c r="M33" s="1" t="str">
        <f t="shared" si="5"/>
        <v>,@</v>
      </c>
      <c r="N33" s="1" t="str">
        <f t="shared" si="6"/>
        <v xml:space="preserve"> = @, </v>
      </c>
      <c r="O33" s="1" t="str">
        <f t="shared" si="9"/>
        <v>error += ExcelUtil.CheckValue(excelVo..ToString()  , "", false, (null, null, ), (false, false, true), (false, false));</v>
      </c>
      <c r="P33" s="1" t="str">
        <f t="shared" si="10"/>
        <v>excelVo. = StringUtil.IsNotEmpty(ExcelUtil.GetCell(sheet, i, j).ToString().TrimEnd())? ExcelUtil.GetCell(sheet, i, j).ToString().TrimEnd().ToUpper():"";j++;//</v>
      </c>
      <c r="Q33" s="1" t="str">
        <f t="shared" si="11"/>
        <v>ExcelUtil.SetContent(sheet, row, column++, (string)item[""]);</v>
      </c>
      <c r="R33" s="1" t="str">
        <f t="shared" si="12"/>
        <v>paramDt.Add("@" ,  );//DECIMAL</v>
      </c>
      <c r="S33" s="1" t="str">
        <f t="shared" si="13"/>
        <v>paramDt.Add("@" , master. );//</v>
      </c>
      <c r="T33" s="1" t="str">
        <f t="shared" si="18"/>
        <v>{ name: '' , sort: '' },</v>
      </c>
      <c r="U33" s="1" t="str">
        <f t="shared" si="15"/>
        <v>"":"",</v>
      </c>
      <c r="V33" s="1" t="str">
        <f t="shared" si="16"/>
        <v>this.vo. = 0 ; //</v>
      </c>
    </row>
    <row r="34" spans="1:22" x14ac:dyDescent="0.4">
      <c r="A34" s="1" t="s">
        <v>106</v>
      </c>
      <c r="D34" s="1" t="s">
        <v>5</v>
      </c>
      <c r="H34" s="1" t="str">
        <f t="shared" si="17"/>
        <v>string</v>
      </c>
      <c r="I34" s="1" t="str">
        <f t="shared" si="8"/>
        <v xml:space="preserve">///&lt;summary&gt;
///
///&lt;/summary&gt;
public string  {get; set;}
</v>
      </c>
      <c r="J34" s="1" t="str">
        <f t="shared" si="2"/>
        <v xml:space="preserve"> AND t1. = @</v>
      </c>
      <c r="K34" s="1" t="str">
        <f t="shared" si="3"/>
        <v>t1.        AS ,</v>
      </c>
      <c r="L34" s="1" t="str">
        <f t="shared" si="4"/>
        <v>,</v>
      </c>
      <c r="M34" s="1" t="str">
        <f t="shared" si="5"/>
        <v>,@</v>
      </c>
      <c r="N34" s="1" t="str">
        <f t="shared" si="6"/>
        <v xml:space="preserve"> = @, </v>
      </c>
      <c r="O34" s="1" t="str">
        <f t="shared" si="9"/>
        <v>error += ExcelUtil.CheckValue(excelVo. , "", false, (null, null, ), (true, false, false), (false, false));</v>
      </c>
      <c r="P34" s="1" t="str">
        <f t="shared" si="10"/>
        <v>excelVo. = StringUtil.IsNotEmpty(ExcelUtil.GetCell(sheet, i, j).ToString().TrimEnd())? ExcelUtil.GetCell(sheet, i, j).ToString().TrimEnd().ToUpper():"";j++;//</v>
      </c>
      <c r="Q34" s="1" t="str">
        <f t="shared" si="11"/>
        <v>ExcelUtil.SetContent(sheet, row, column++, (string)item[""]);</v>
      </c>
      <c r="R34" s="1" t="str">
        <f t="shared" si="12"/>
        <v>paramDt.Add("@" ,  );//VARCHAR</v>
      </c>
      <c r="S34" s="1" t="str">
        <f t="shared" si="13"/>
        <v>paramDt.Add("@" , master. );//</v>
      </c>
      <c r="T34" s="1" t="str">
        <f t="shared" si="18"/>
        <v>{ name: '' , sort: '' },</v>
      </c>
      <c r="U34" s="1" t="str">
        <f t="shared" si="15"/>
        <v>"":"",</v>
      </c>
      <c r="V34" s="1" t="str">
        <f t="shared" si="16"/>
        <v>this.vo. = '' ; //</v>
      </c>
    </row>
    <row r="35" spans="1:22" x14ac:dyDescent="0.4">
      <c r="A35" s="1" t="s">
        <v>106</v>
      </c>
      <c r="D35" s="1" t="s">
        <v>5</v>
      </c>
      <c r="H35" s="1" t="str">
        <f t="shared" si="17"/>
        <v>string</v>
      </c>
      <c r="I35" s="1" t="str">
        <f t="shared" si="8"/>
        <v xml:space="preserve">///&lt;summary&gt;
///
///&lt;/summary&gt;
public string  {get; set;}
</v>
      </c>
      <c r="J35" s="1" t="str">
        <f t="shared" si="2"/>
        <v xml:space="preserve"> AND t1. = @</v>
      </c>
      <c r="K35" s="1" t="str">
        <f t="shared" si="3"/>
        <v>t1.        AS ,</v>
      </c>
      <c r="L35" s="1" t="str">
        <f t="shared" si="4"/>
        <v>,</v>
      </c>
      <c r="M35" s="1" t="str">
        <f t="shared" si="5"/>
        <v>,@</v>
      </c>
      <c r="N35" s="1" t="str">
        <f t="shared" si="6"/>
        <v xml:space="preserve"> = @, </v>
      </c>
      <c r="O35" s="1" t="str">
        <f t="shared" si="9"/>
        <v>error += ExcelUtil.CheckValue(excelVo. , "", false, (null, null, ), (true, false, false), (false, false));</v>
      </c>
      <c r="P35" s="1" t="str">
        <f t="shared" si="10"/>
        <v>excelVo. = StringUtil.IsNotEmpty(ExcelUtil.GetCell(sheet, i, j).ToString().TrimEnd())? ExcelUtil.GetCell(sheet, i, j).ToString().TrimEnd().ToUpper():"";j++;//</v>
      </c>
      <c r="Q35" s="1" t="str">
        <f t="shared" si="11"/>
        <v>ExcelUtil.SetContent(sheet, row, column++, (string)item[""]);</v>
      </c>
      <c r="R35" s="1" t="str">
        <f t="shared" si="12"/>
        <v>paramDt.Add("@" ,  );//VARCHAR</v>
      </c>
      <c r="S35" s="1" t="str">
        <f t="shared" si="13"/>
        <v>paramDt.Add("@" , master. );//</v>
      </c>
      <c r="T35" s="1" t="str">
        <f t="shared" si="18"/>
        <v>{ name: '' , sort: '' },</v>
      </c>
      <c r="U35" s="1" t="str">
        <f t="shared" si="15"/>
        <v>"":"",</v>
      </c>
      <c r="V35" s="1" t="str">
        <f t="shared" si="16"/>
        <v>this.vo. = '' ; //</v>
      </c>
    </row>
    <row r="36" spans="1:22" x14ac:dyDescent="0.4">
      <c r="A36" s="1" t="s">
        <v>106</v>
      </c>
      <c r="D36" s="1" t="s">
        <v>5</v>
      </c>
      <c r="H36" s="1" t="str">
        <f t="shared" si="17"/>
        <v>string</v>
      </c>
      <c r="I36" s="1" t="str">
        <f t="shared" si="8"/>
        <v xml:space="preserve">///&lt;summary&gt;
///
///&lt;/summary&gt;
public string  {get; set;}
</v>
      </c>
      <c r="J36" s="1" t="str">
        <f t="shared" si="2"/>
        <v xml:space="preserve"> AND t1. = @</v>
      </c>
      <c r="K36" s="1" t="str">
        <f t="shared" si="3"/>
        <v>t1.        AS ,</v>
      </c>
      <c r="L36" s="1" t="str">
        <f t="shared" si="4"/>
        <v>,</v>
      </c>
      <c r="M36" s="1" t="str">
        <f t="shared" si="5"/>
        <v>,@</v>
      </c>
      <c r="N36" s="1" t="str">
        <f t="shared" si="6"/>
        <v xml:space="preserve"> = @, </v>
      </c>
      <c r="O36" s="1" t="str">
        <f t="shared" si="9"/>
        <v>error += ExcelUtil.CheckValue(excelVo. , "", false, (null, null, ), (true, false, false), (false, false));</v>
      </c>
      <c r="P36" s="1" t="str">
        <f t="shared" si="10"/>
        <v>excelVo. = StringUtil.IsNotEmpty(ExcelUtil.GetCell(sheet, i, j).ToString().TrimEnd())? ExcelUtil.GetCell(sheet, i, j).ToString().TrimEnd().ToUpper():"";j++;//</v>
      </c>
      <c r="Q36" s="1" t="str">
        <f t="shared" si="11"/>
        <v>ExcelUtil.SetContent(sheet, row, column++, (string)item[""]);</v>
      </c>
      <c r="R36" s="1" t="str">
        <f t="shared" si="12"/>
        <v>paramDt.Add("@" ,  );//VARCHAR</v>
      </c>
      <c r="S36" s="1" t="str">
        <f t="shared" si="13"/>
        <v>paramDt.Add("@" , master. );//</v>
      </c>
      <c r="T36" s="1" t="str">
        <f t="shared" si="18"/>
        <v>{ name: '' , sort: '' },</v>
      </c>
      <c r="U36" s="1" t="str">
        <f t="shared" si="15"/>
        <v>"":"",</v>
      </c>
      <c r="V36" s="1" t="str">
        <f t="shared" si="16"/>
        <v>this.vo. = '' ; //</v>
      </c>
    </row>
    <row r="37" spans="1:22" x14ac:dyDescent="0.4">
      <c r="A37" s="1" t="s">
        <v>106</v>
      </c>
      <c r="D37" s="1" t="s">
        <v>5</v>
      </c>
      <c r="H37" s="1" t="str">
        <f t="shared" si="17"/>
        <v>string</v>
      </c>
      <c r="I37" s="1" t="str">
        <f t="shared" si="8"/>
        <v xml:space="preserve">///&lt;summary&gt;
///
///&lt;/summary&gt;
public string  {get; set;}
</v>
      </c>
      <c r="J37" s="1" t="str">
        <f t="shared" si="2"/>
        <v xml:space="preserve"> AND t1. = @</v>
      </c>
      <c r="K37" s="1" t="str">
        <f t="shared" si="3"/>
        <v>t1.        AS ,</v>
      </c>
      <c r="L37" s="1" t="str">
        <f t="shared" si="4"/>
        <v>,</v>
      </c>
      <c r="M37" s="1" t="str">
        <f t="shared" si="5"/>
        <v>,@</v>
      </c>
      <c r="N37" s="1" t="str">
        <f t="shared" si="6"/>
        <v xml:space="preserve"> = @, </v>
      </c>
      <c r="O37" s="1" t="str">
        <f t="shared" si="9"/>
        <v>error += ExcelUtil.CheckValue(excelVo. , "", false, (null, null, ), (true, false, false), (false, false));</v>
      </c>
      <c r="P37" s="1" t="str">
        <f t="shared" si="10"/>
        <v>excelVo. = StringUtil.IsNotEmpty(ExcelUtil.GetCell(sheet, i, j).ToString().TrimEnd())? ExcelUtil.GetCell(sheet, i, j).ToString().TrimEnd().ToUpper():"";j++;//</v>
      </c>
      <c r="Q37" s="1" t="str">
        <f t="shared" si="11"/>
        <v>ExcelUtil.SetContent(sheet, row, column++, (string)item[""]);</v>
      </c>
      <c r="R37" s="1" t="str">
        <f t="shared" si="12"/>
        <v>paramDt.Add("@" ,  );//VARCHAR</v>
      </c>
      <c r="S37" s="1" t="str">
        <f t="shared" si="13"/>
        <v>paramDt.Add("@" , master. );//</v>
      </c>
      <c r="T37" s="1" t="str">
        <f t="shared" si="18"/>
        <v>{ name: '' , sort: '' },</v>
      </c>
      <c r="U37" s="1" t="str">
        <f t="shared" si="15"/>
        <v>"":"",</v>
      </c>
      <c r="V37" s="1" t="str">
        <f t="shared" si="16"/>
        <v>this.vo. = '' ; //</v>
      </c>
    </row>
    <row r="38" spans="1:22" x14ac:dyDescent="0.4">
      <c r="A38" s="1" t="s">
        <v>106</v>
      </c>
      <c r="D38" s="1" t="s">
        <v>6</v>
      </c>
      <c r="H38" s="1" t="str">
        <f t="shared" si="17"/>
        <v>decimal?</v>
      </c>
      <c r="I38" s="1" t="str">
        <f t="shared" si="8"/>
        <v xml:space="preserve">///&lt;summary&gt;
///
///&lt;/summary&gt;
public decimal?  {get; set;}
</v>
      </c>
      <c r="J38" s="1" t="str">
        <f t="shared" si="2"/>
        <v xml:space="preserve"> AND t1. = @</v>
      </c>
      <c r="K38" s="1" t="str">
        <f t="shared" si="3"/>
        <v>t1.        AS ,</v>
      </c>
      <c r="L38" s="1" t="str">
        <f t="shared" si="4"/>
        <v>,</v>
      </c>
      <c r="M38" s="1" t="str">
        <f t="shared" si="5"/>
        <v>,@</v>
      </c>
      <c r="N38" s="1" t="str">
        <f t="shared" si="6"/>
        <v xml:space="preserve"> = @, </v>
      </c>
      <c r="O38" s="1" t="str">
        <f t="shared" si="9"/>
        <v>error += ExcelUtil.CheckValue(excelVo..ToString()  , "", false, (null, null, ), (false, false, true), (false, false));</v>
      </c>
      <c r="P38" s="1" t="str">
        <f t="shared" si="10"/>
        <v>excelVo. = StringUtil.IsNotEmpty(ExcelUtil.GetCell(sheet, i, j).ToString().TrimEnd())? ExcelUtil.GetCell(sheet, i, j).ToString().TrimEnd().ToUpper():"";j++;//</v>
      </c>
      <c r="Q38" s="1" t="str">
        <f t="shared" si="11"/>
        <v>ExcelUtil.SetContent(sheet, row, column++, (string)item[""]);</v>
      </c>
      <c r="R38" s="1" t="str">
        <f t="shared" si="12"/>
        <v>paramDt.Add("@" ,  );//DECIMAL</v>
      </c>
      <c r="S38" s="1" t="str">
        <f t="shared" si="13"/>
        <v>paramDt.Add("@" , master. );//</v>
      </c>
      <c r="T38" s="1" t="str">
        <f t="shared" si="18"/>
        <v>{ name: '' , sort: '' },</v>
      </c>
      <c r="U38" s="1" t="str">
        <f t="shared" si="15"/>
        <v>"":"",</v>
      </c>
      <c r="V38" s="1" t="str">
        <f t="shared" si="16"/>
        <v>this.vo. = 0 ; //</v>
      </c>
    </row>
    <row r="39" spans="1:22" x14ac:dyDescent="0.4">
      <c r="A39" s="1" t="s">
        <v>106</v>
      </c>
      <c r="D39" s="1" t="s">
        <v>6</v>
      </c>
      <c r="H39" s="1" t="str">
        <f t="shared" si="17"/>
        <v>decimal?</v>
      </c>
      <c r="I39" s="1" t="str">
        <f t="shared" si="8"/>
        <v xml:space="preserve">///&lt;summary&gt;
///
///&lt;/summary&gt;
public decimal?  {get; set;}
</v>
      </c>
      <c r="J39" s="1" t="str">
        <f t="shared" si="2"/>
        <v xml:space="preserve"> AND t1. = @</v>
      </c>
      <c r="K39" s="1" t="str">
        <f t="shared" si="3"/>
        <v>t1.        AS ,</v>
      </c>
      <c r="L39" s="1" t="str">
        <f t="shared" si="4"/>
        <v>,</v>
      </c>
      <c r="M39" s="1" t="str">
        <f t="shared" si="5"/>
        <v>,@</v>
      </c>
      <c r="N39" s="1" t="str">
        <f t="shared" si="6"/>
        <v xml:space="preserve"> = @, </v>
      </c>
      <c r="O39" s="1" t="str">
        <f t="shared" si="9"/>
        <v>error += ExcelUtil.CheckValue(excelVo..ToString()  , "", false, (null, null, ), (false, false, true), (false, false));</v>
      </c>
      <c r="P39" s="1" t="str">
        <f t="shared" si="10"/>
        <v>excelVo. = StringUtil.IsNotEmpty(ExcelUtil.GetCell(sheet, i, j).ToString().TrimEnd())? ExcelUtil.GetCell(sheet, i, j).ToString().TrimEnd().ToUpper():"";j++;//</v>
      </c>
      <c r="Q39" s="1" t="str">
        <f t="shared" si="11"/>
        <v>ExcelUtil.SetContent(sheet, row, column++, (string)item[""]);</v>
      </c>
      <c r="R39" s="1" t="str">
        <f t="shared" si="12"/>
        <v>paramDt.Add("@" ,  );//DECIMAL</v>
      </c>
      <c r="S39" s="1" t="str">
        <f t="shared" si="13"/>
        <v>paramDt.Add("@" , master. );//</v>
      </c>
      <c r="T39" s="1" t="str">
        <f t="shared" si="18"/>
        <v>{ name: '' , sort: '' },</v>
      </c>
      <c r="U39" s="1" t="str">
        <f t="shared" si="15"/>
        <v>"":"",</v>
      </c>
      <c r="V39" s="1" t="str">
        <f t="shared" si="16"/>
        <v>this.vo. = 0 ; //</v>
      </c>
    </row>
    <row r="40" spans="1:22" x14ac:dyDescent="0.4">
      <c r="A40" s="1" t="s">
        <v>106</v>
      </c>
      <c r="D40" s="1" t="s">
        <v>6</v>
      </c>
      <c r="H40" s="1" t="str">
        <f t="shared" si="17"/>
        <v>decimal?</v>
      </c>
      <c r="I40" s="1" t="str">
        <f t="shared" si="8"/>
        <v xml:space="preserve">///&lt;summary&gt;
///
///&lt;/summary&gt;
public decimal?  {get; set;}
</v>
      </c>
      <c r="J40" s="1" t="str">
        <f t="shared" si="2"/>
        <v xml:space="preserve"> AND t1. = @</v>
      </c>
      <c r="K40" s="1" t="str">
        <f t="shared" si="3"/>
        <v>t1.        AS ,</v>
      </c>
      <c r="L40" s="1" t="str">
        <f t="shared" si="4"/>
        <v>,</v>
      </c>
      <c r="M40" s="1" t="str">
        <f t="shared" si="5"/>
        <v>,@</v>
      </c>
      <c r="N40" s="1" t="str">
        <f t="shared" si="6"/>
        <v xml:space="preserve"> = @, </v>
      </c>
      <c r="O40" s="1" t="str">
        <f t="shared" si="9"/>
        <v>error += ExcelUtil.CheckValue(excelVo..ToString()  , "", false, (null, null, ), (false, false, true), (false, false));</v>
      </c>
      <c r="P40" s="1" t="str">
        <f t="shared" si="10"/>
        <v>excelVo. = StringUtil.IsNotEmpty(ExcelUtil.GetCell(sheet, i, j).ToString().TrimEnd())? ExcelUtil.GetCell(sheet, i, j).ToString().TrimEnd().ToUpper():"";j++;//</v>
      </c>
      <c r="Q40" s="1" t="str">
        <f t="shared" si="11"/>
        <v>ExcelUtil.SetContent(sheet, row, column++, (string)item[""]);</v>
      </c>
      <c r="R40" s="1" t="str">
        <f t="shared" si="12"/>
        <v>paramDt.Add("@" ,  );//DECIMAL</v>
      </c>
      <c r="S40" s="1" t="str">
        <f t="shared" si="13"/>
        <v>paramDt.Add("@" , master. );//</v>
      </c>
      <c r="T40" s="1" t="str">
        <f t="shared" si="18"/>
        <v>{ name: '' , sort: '' },</v>
      </c>
      <c r="U40" s="1" t="str">
        <f t="shared" si="15"/>
        <v>"":"",</v>
      </c>
      <c r="V40" s="1" t="str">
        <f t="shared" si="16"/>
        <v>this.vo. = 0 ; //</v>
      </c>
    </row>
    <row r="41" spans="1:22" x14ac:dyDescent="0.4">
      <c r="A41" s="1" t="s">
        <v>106</v>
      </c>
      <c r="D41" s="1" t="s">
        <v>6</v>
      </c>
      <c r="H41" s="1" t="str">
        <f t="shared" si="17"/>
        <v>decimal?</v>
      </c>
      <c r="I41" s="1" t="str">
        <f t="shared" si="8"/>
        <v xml:space="preserve">///&lt;summary&gt;
///
///&lt;/summary&gt;
public decimal?  {get; set;}
</v>
      </c>
      <c r="J41" s="1" t="str">
        <f t="shared" si="2"/>
        <v xml:space="preserve"> AND t1. = @</v>
      </c>
      <c r="K41" s="1" t="str">
        <f t="shared" si="3"/>
        <v>t1.        AS ,</v>
      </c>
      <c r="L41" s="1" t="str">
        <f t="shared" si="4"/>
        <v>,</v>
      </c>
      <c r="M41" s="1" t="str">
        <f t="shared" si="5"/>
        <v>,@</v>
      </c>
      <c r="N41" s="1" t="str">
        <f t="shared" si="6"/>
        <v xml:space="preserve"> = @, </v>
      </c>
      <c r="O41" s="1" t="str">
        <f t="shared" si="9"/>
        <v>error += ExcelUtil.CheckValue(excelVo..ToString()  , "", false, (null, null, ), (false, false, true), (false, false));</v>
      </c>
      <c r="P41" s="1" t="str">
        <f t="shared" si="10"/>
        <v>excelVo. = StringUtil.IsNotEmpty(ExcelUtil.GetCell(sheet, i, j).ToString().TrimEnd())? ExcelUtil.GetCell(sheet, i, j).ToString().TrimEnd().ToUpper():"";j++;//</v>
      </c>
      <c r="Q41" s="1" t="str">
        <f t="shared" si="11"/>
        <v>ExcelUtil.SetContent(sheet, row, column++, (string)item[""]);</v>
      </c>
      <c r="R41" s="1" t="str">
        <f t="shared" si="12"/>
        <v>paramDt.Add("@" ,  );//DECIMAL</v>
      </c>
      <c r="S41" s="1" t="str">
        <f t="shared" si="13"/>
        <v>paramDt.Add("@" , master. );//</v>
      </c>
      <c r="T41" s="1" t="str">
        <f t="shared" si="18"/>
        <v>{ name: '' , sort: '' },</v>
      </c>
      <c r="U41" s="1" t="str">
        <f t="shared" si="15"/>
        <v>"":"",</v>
      </c>
      <c r="V41" s="1" t="str">
        <f t="shared" si="16"/>
        <v>this.vo. = 0 ; //</v>
      </c>
    </row>
    <row r="42" spans="1:22" x14ac:dyDescent="0.4">
      <c r="A42" s="1" t="s">
        <v>106</v>
      </c>
      <c r="D42" s="1" t="s">
        <v>6</v>
      </c>
      <c r="H42" s="1" t="str">
        <f t="shared" si="17"/>
        <v>decimal?</v>
      </c>
      <c r="I42" s="1" t="str">
        <f t="shared" si="8"/>
        <v xml:space="preserve">///&lt;summary&gt;
///
///&lt;/summary&gt;
public decimal?  {get; set;}
</v>
      </c>
      <c r="J42" s="1" t="str">
        <f t="shared" si="2"/>
        <v xml:space="preserve"> AND t1. = @</v>
      </c>
      <c r="K42" s="1" t="str">
        <f t="shared" si="3"/>
        <v>t1.        AS ,</v>
      </c>
      <c r="L42" s="1" t="str">
        <f t="shared" si="4"/>
        <v>,</v>
      </c>
      <c r="M42" s="1" t="str">
        <f t="shared" si="5"/>
        <v>,@</v>
      </c>
      <c r="N42" s="1" t="str">
        <f t="shared" si="6"/>
        <v xml:space="preserve"> = @, </v>
      </c>
      <c r="O42" s="1" t="str">
        <f t="shared" si="9"/>
        <v>error += ExcelUtil.CheckValue(excelVo..ToString()  , "", false, (null, null, ), (false, false, true), (false, false));</v>
      </c>
      <c r="P42" s="1" t="str">
        <f t="shared" si="10"/>
        <v>excelVo. = StringUtil.IsNotEmpty(ExcelUtil.GetCell(sheet, i, j).ToString().TrimEnd())? ExcelUtil.GetCell(sheet, i, j).ToString().TrimEnd().ToUpper():"";j++;//</v>
      </c>
      <c r="Q42" s="1" t="str">
        <f t="shared" si="11"/>
        <v>ExcelUtil.SetContent(sheet, row, column++, (string)item[""]);</v>
      </c>
      <c r="R42" s="1" t="str">
        <f t="shared" si="12"/>
        <v>paramDt.Add("@" ,  );//DECIMAL</v>
      </c>
      <c r="S42" s="1" t="str">
        <f t="shared" si="13"/>
        <v>paramDt.Add("@" , master. );//</v>
      </c>
      <c r="T42" s="1" t="str">
        <f t="shared" si="18"/>
        <v>{ name: '' , sort: '' },</v>
      </c>
      <c r="U42" s="1" t="str">
        <f t="shared" si="15"/>
        <v>"":"",</v>
      </c>
      <c r="V42" s="1" t="str">
        <f t="shared" si="16"/>
        <v>this.vo. = 0 ; //</v>
      </c>
    </row>
    <row r="43" spans="1:22" x14ac:dyDescent="0.4">
      <c r="A43" s="1" t="s">
        <v>106</v>
      </c>
      <c r="D43" s="1" t="s">
        <v>5</v>
      </c>
      <c r="H43" s="1" t="str">
        <f t="shared" si="17"/>
        <v>string</v>
      </c>
      <c r="I43" s="1" t="str">
        <f t="shared" si="8"/>
        <v xml:space="preserve">///&lt;summary&gt;
///
///&lt;/summary&gt;
public string  {get; set;}
</v>
      </c>
      <c r="J43" s="1" t="str">
        <f t="shared" si="2"/>
        <v xml:space="preserve"> AND t1. = @</v>
      </c>
      <c r="K43" s="1" t="str">
        <f t="shared" si="3"/>
        <v>t1.        AS ,</v>
      </c>
      <c r="L43" s="1" t="str">
        <f t="shared" si="4"/>
        <v>,</v>
      </c>
      <c r="M43" s="1" t="str">
        <f t="shared" si="5"/>
        <v>,@</v>
      </c>
      <c r="N43" s="1" t="str">
        <f t="shared" si="6"/>
        <v xml:space="preserve"> = @, </v>
      </c>
      <c r="O43" s="1" t="str">
        <f t="shared" si="9"/>
        <v>error += ExcelUtil.CheckValue(excelVo. , "", false, (null, null, ), (true, false, false), (false, false));</v>
      </c>
      <c r="P43" s="1" t="str">
        <f t="shared" si="10"/>
        <v>excelVo. = StringUtil.IsNotEmpty(ExcelUtil.GetCell(sheet, i, j).ToString().TrimEnd())? ExcelUtil.GetCell(sheet, i, j).ToString().TrimEnd().ToUpper():"";j++;//</v>
      </c>
      <c r="Q43" s="1" t="str">
        <f t="shared" si="11"/>
        <v>ExcelUtil.SetContent(sheet, row, column++, (string)item[""]);</v>
      </c>
      <c r="R43" s="1" t="str">
        <f t="shared" si="12"/>
        <v>paramDt.Add("@" ,  );//VARCHAR</v>
      </c>
      <c r="S43" s="1" t="str">
        <f t="shared" si="13"/>
        <v>paramDt.Add("@" , master. );//</v>
      </c>
      <c r="T43" s="1" t="str">
        <f t="shared" si="18"/>
        <v>{ name: '' , sort: '' },</v>
      </c>
      <c r="U43" s="1" t="str">
        <f t="shared" si="15"/>
        <v>"":"",</v>
      </c>
      <c r="V43" s="1" t="str">
        <f t="shared" si="16"/>
        <v>this.vo. = '' ; //</v>
      </c>
    </row>
    <row r="44" spans="1:22" x14ac:dyDescent="0.4">
      <c r="A44" s="1" t="s">
        <v>106</v>
      </c>
      <c r="D44" s="1" t="s">
        <v>5</v>
      </c>
      <c r="H44" s="1" t="str">
        <f t="shared" si="17"/>
        <v>string</v>
      </c>
      <c r="I44" s="1" t="str">
        <f t="shared" si="8"/>
        <v xml:space="preserve">///&lt;summary&gt;
///
///&lt;/summary&gt;
public string  {get; set;}
</v>
      </c>
      <c r="J44" s="1" t="str">
        <f t="shared" si="2"/>
        <v xml:space="preserve"> AND t1. = @</v>
      </c>
      <c r="K44" s="1" t="str">
        <f t="shared" si="3"/>
        <v>t1.        AS ,</v>
      </c>
      <c r="L44" s="1" t="str">
        <f t="shared" si="4"/>
        <v>,</v>
      </c>
      <c r="M44" s="1" t="str">
        <f t="shared" si="5"/>
        <v>,@</v>
      </c>
      <c r="N44" s="1" t="str">
        <f t="shared" si="6"/>
        <v xml:space="preserve"> = @, </v>
      </c>
      <c r="O44" s="1" t="str">
        <f t="shared" si="9"/>
        <v>error += ExcelUtil.CheckValue(excelVo. , "", false, (null, null, ), (true, false, false), (false, false));</v>
      </c>
      <c r="P44" s="1" t="str">
        <f t="shared" si="10"/>
        <v>excelVo. = StringUtil.IsNotEmpty(ExcelUtil.GetCell(sheet, i, j).ToString().TrimEnd())? ExcelUtil.GetCell(sheet, i, j).ToString().TrimEnd().ToUpper():"";j++;//</v>
      </c>
      <c r="Q44" s="1" t="str">
        <f t="shared" si="11"/>
        <v>ExcelUtil.SetContent(sheet, row, column++, (string)item[""]);</v>
      </c>
      <c r="R44" s="1" t="str">
        <f t="shared" si="12"/>
        <v>paramDt.Add("@" ,  );//VARCHAR</v>
      </c>
      <c r="S44" s="1" t="str">
        <f t="shared" si="13"/>
        <v>paramDt.Add("@" , master. );//</v>
      </c>
      <c r="T44" s="1" t="str">
        <f t="shared" si="18"/>
        <v>{ name: '' , sort: '' },</v>
      </c>
      <c r="U44" s="1" t="str">
        <f t="shared" si="15"/>
        <v>"":"",</v>
      </c>
      <c r="V44" s="1" t="str">
        <f t="shared" si="16"/>
        <v>this.vo. = '' ; //</v>
      </c>
    </row>
    <row r="45" spans="1:22" x14ac:dyDescent="0.4">
      <c r="A45" s="1" t="s">
        <v>106</v>
      </c>
      <c r="D45" s="1" t="s">
        <v>5</v>
      </c>
      <c r="H45" s="1" t="str">
        <f t="shared" si="17"/>
        <v>string</v>
      </c>
      <c r="I45" s="1" t="str">
        <f t="shared" si="8"/>
        <v xml:space="preserve">///&lt;summary&gt;
///
///&lt;/summary&gt;
public string  {get; set;}
</v>
      </c>
      <c r="J45" s="1" t="str">
        <f t="shared" si="2"/>
        <v xml:space="preserve"> AND t1. = @</v>
      </c>
      <c r="K45" s="1" t="str">
        <f t="shared" si="3"/>
        <v>t1.        AS ,</v>
      </c>
      <c r="L45" s="1" t="str">
        <f t="shared" si="4"/>
        <v>,</v>
      </c>
      <c r="M45" s="1" t="str">
        <f t="shared" si="5"/>
        <v>,@</v>
      </c>
      <c r="N45" s="1" t="str">
        <f t="shared" si="6"/>
        <v xml:space="preserve"> = @, </v>
      </c>
      <c r="O45" s="1" t="str">
        <f t="shared" si="9"/>
        <v>error += ExcelUtil.CheckValue(excelVo. , "", false, (null, null, ), (true, false, false), (false, false));</v>
      </c>
      <c r="P45" s="1" t="str">
        <f t="shared" si="10"/>
        <v>excelVo. = StringUtil.IsNotEmpty(ExcelUtil.GetCell(sheet, i, j).ToString().TrimEnd())? ExcelUtil.GetCell(sheet, i, j).ToString().TrimEnd().ToUpper():"";j++;//</v>
      </c>
      <c r="Q45" s="1" t="str">
        <f t="shared" si="11"/>
        <v>ExcelUtil.SetContent(sheet, row, column++, (string)item[""]);</v>
      </c>
      <c r="R45" s="1" t="str">
        <f t="shared" si="12"/>
        <v>paramDt.Add("@" ,  );//VARCHAR</v>
      </c>
      <c r="S45" s="1" t="str">
        <f t="shared" si="13"/>
        <v>paramDt.Add("@" , master. );//</v>
      </c>
      <c r="T45" s="1" t="str">
        <f t="shared" si="18"/>
        <v>{ name: '' , sort: '' },</v>
      </c>
      <c r="U45" s="1" t="str">
        <f t="shared" si="15"/>
        <v>"":"",</v>
      </c>
      <c r="V45" s="1" t="str">
        <f t="shared" si="16"/>
        <v>this.vo. = '' ; //</v>
      </c>
    </row>
    <row r="46" spans="1:22" x14ac:dyDescent="0.4">
      <c r="A46" s="1" t="s">
        <v>106</v>
      </c>
      <c r="D46" s="1" t="s">
        <v>5</v>
      </c>
      <c r="H46" s="1" t="str">
        <f t="shared" si="17"/>
        <v>string</v>
      </c>
      <c r="I46" s="1" t="str">
        <f t="shared" si="8"/>
        <v xml:space="preserve">///&lt;summary&gt;
///
///&lt;/summary&gt;
public string  {get; set;}
</v>
      </c>
      <c r="J46" s="1" t="str">
        <f t="shared" si="2"/>
        <v xml:space="preserve"> AND t1. = @</v>
      </c>
      <c r="K46" s="1" t="str">
        <f t="shared" si="3"/>
        <v>t1.        AS ,</v>
      </c>
      <c r="L46" s="1" t="str">
        <f t="shared" si="4"/>
        <v>,</v>
      </c>
      <c r="M46" s="1" t="str">
        <f t="shared" si="5"/>
        <v>,@</v>
      </c>
      <c r="N46" s="1" t="str">
        <f t="shared" si="6"/>
        <v xml:space="preserve"> = @, </v>
      </c>
      <c r="O46" s="1" t="str">
        <f t="shared" si="9"/>
        <v>error += ExcelUtil.CheckValue(excelVo. , "", false, (null, null, ), (true, false, false), (false, false));</v>
      </c>
      <c r="P46" s="1" t="str">
        <f t="shared" si="10"/>
        <v>excelVo. = StringUtil.IsNotEmpty(ExcelUtil.GetCell(sheet, i, j).ToString().TrimEnd())? ExcelUtil.GetCell(sheet, i, j).ToString().TrimEnd().ToUpper():"";j++;//</v>
      </c>
      <c r="Q46" s="1" t="str">
        <f t="shared" si="11"/>
        <v>ExcelUtil.SetContent(sheet, row, column++, (string)item[""]);</v>
      </c>
      <c r="R46" s="1" t="str">
        <f t="shared" si="12"/>
        <v>paramDt.Add("@" ,  );//VARCHAR</v>
      </c>
      <c r="S46" s="1" t="str">
        <f t="shared" si="13"/>
        <v>paramDt.Add("@" , master. );//</v>
      </c>
      <c r="T46" s="1" t="str">
        <f t="shared" si="18"/>
        <v>{ name: '' , sort: '' },</v>
      </c>
      <c r="U46" s="1" t="str">
        <f t="shared" si="15"/>
        <v>"":"",</v>
      </c>
      <c r="V46" s="1" t="str">
        <f t="shared" si="16"/>
        <v>this.vo. = '' ; //</v>
      </c>
    </row>
    <row r="47" spans="1:22" x14ac:dyDescent="0.4">
      <c r="A47" s="1" t="s">
        <v>106</v>
      </c>
      <c r="D47" s="1" t="s">
        <v>6</v>
      </c>
      <c r="H47" s="1" t="str">
        <f t="shared" si="17"/>
        <v>decimal?</v>
      </c>
      <c r="I47" s="1" t="str">
        <f t="shared" si="8"/>
        <v xml:space="preserve">///&lt;summary&gt;
///
///&lt;/summary&gt;
public decimal?  {get; set;}
</v>
      </c>
      <c r="J47" s="1" t="str">
        <f t="shared" si="2"/>
        <v xml:space="preserve"> AND t1. = @</v>
      </c>
      <c r="K47" s="1" t="str">
        <f t="shared" si="3"/>
        <v>t1.        AS ,</v>
      </c>
      <c r="L47" s="1" t="str">
        <f t="shared" si="4"/>
        <v>,</v>
      </c>
      <c r="M47" s="1" t="str">
        <f t="shared" si="5"/>
        <v>,@</v>
      </c>
      <c r="N47" s="1" t="str">
        <f t="shared" si="6"/>
        <v xml:space="preserve"> = @, </v>
      </c>
      <c r="O47" s="1" t="str">
        <f t="shared" si="9"/>
        <v>error += ExcelUtil.CheckValue(excelVo..ToString()  , "", false, (null, null, ), (false, false, true), (false, false));</v>
      </c>
      <c r="P47" s="1" t="str">
        <f t="shared" si="10"/>
        <v>excelVo. = StringUtil.IsNotEmpty(ExcelUtil.GetCell(sheet, i, j).ToString().TrimEnd())? ExcelUtil.GetCell(sheet, i, j).ToString().TrimEnd().ToUpper():"";j++;//</v>
      </c>
      <c r="Q47" s="1" t="str">
        <f t="shared" si="11"/>
        <v>ExcelUtil.SetContent(sheet, row, column++, (string)item[""]);</v>
      </c>
      <c r="R47" s="1" t="str">
        <f t="shared" si="12"/>
        <v>paramDt.Add("@" ,  );//DECIMAL</v>
      </c>
      <c r="S47" s="1" t="str">
        <f t="shared" si="13"/>
        <v>paramDt.Add("@" , master. );//</v>
      </c>
      <c r="T47" s="1" t="str">
        <f t="shared" si="18"/>
        <v>{ name: '' , sort: '' },</v>
      </c>
      <c r="U47" s="1" t="str">
        <f t="shared" si="15"/>
        <v>"":"",</v>
      </c>
      <c r="V47" s="1" t="str">
        <f t="shared" si="16"/>
        <v>this.vo. = 0 ; //</v>
      </c>
    </row>
    <row r="48" spans="1:22" x14ac:dyDescent="0.4">
      <c r="A48" s="1" t="s">
        <v>106</v>
      </c>
      <c r="D48" s="1" t="s">
        <v>6</v>
      </c>
      <c r="H48" s="1" t="str">
        <f t="shared" si="17"/>
        <v>decimal?</v>
      </c>
      <c r="I48" s="1" t="str">
        <f t="shared" si="8"/>
        <v xml:space="preserve">///&lt;summary&gt;
///
///&lt;/summary&gt;
public decimal?  {get; set;}
</v>
      </c>
      <c r="J48" s="1" t="str">
        <f t="shared" si="2"/>
        <v xml:space="preserve"> AND t1. = @</v>
      </c>
      <c r="K48" s="1" t="str">
        <f t="shared" si="3"/>
        <v>t1.        AS ,</v>
      </c>
      <c r="L48" s="1" t="str">
        <f t="shared" si="4"/>
        <v>,</v>
      </c>
      <c r="M48" s="1" t="str">
        <f t="shared" si="5"/>
        <v>,@</v>
      </c>
      <c r="N48" s="1" t="str">
        <f t="shared" si="6"/>
        <v xml:space="preserve"> = @, </v>
      </c>
      <c r="O48" s="1" t="str">
        <f t="shared" si="9"/>
        <v>error += ExcelUtil.CheckValue(excelVo..ToString()  , "", false, (null, null, ), (false, false, true), (false, false));</v>
      </c>
      <c r="P48" s="1" t="str">
        <f t="shared" si="10"/>
        <v>excelVo. = StringUtil.IsNotEmpty(ExcelUtil.GetCell(sheet, i, j).ToString().TrimEnd())? ExcelUtil.GetCell(sheet, i, j).ToString().TrimEnd().ToUpper():"";j++;//</v>
      </c>
      <c r="Q48" s="1" t="str">
        <f t="shared" si="11"/>
        <v>ExcelUtil.SetContent(sheet, row, column++, (string)item[""]);</v>
      </c>
      <c r="R48" s="1" t="str">
        <f t="shared" si="12"/>
        <v>paramDt.Add("@" ,  );//DECIMAL</v>
      </c>
      <c r="S48" s="1" t="str">
        <f t="shared" si="13"/>
        <v>paramDt.Add("@" , master. );//</v>
      </c>
      <c r="T48" s="1" t="str">
        <f t="shared" si="18"/>
        <v>{ name: '' , sort: '' },</v>
      </c>
      <c r="U48" s="1" t="str">
        <f t="shared" si="15"/>
        <v>"":"",</v>
      </c>
      <c r="V48" s="1" t="str">
        <f t="shared" si="16"/>
        <v>this.vo. = 0 ; //</v>
      </c>
    </row>
    <row r="49" spans="1:22" x14ac:dyDescent="0.4">
      <c r="A49" s="1" t="s">
        <v>106</v>
      </c>
      <c r="D49" s="1" t="s">
        <v>6</v>
      </c>
      <c r="H49" s="1" t="str">
        <f t="shared" si="17"/>
        <v>decimal?</v>
      </c>
      <c r="I49" s="1" t="str">
        <f t="shared" si="8"/>
        <v xml:space="preserve">///&lt;summary&gt;
///
///&lt;/summary&gt;
public decimal?  {get; set;}
</v>
      </c>
      <c r="J49" s="1" t="str">
        <f t="shared" si="2"/>
        <v xml:space="preserve"> AND t1. = @</v>
      </c>
      <c r="K49" s="1" t="str">
        <f t="shared" si="3"/>
        <v>t1.        AS ,</v>
      </c>
      <c r="L49" s="1" t="str">
        <f t="shared" si="4"/>
        <v>,</v>
      </c>
      <c r="M49" s="1" t="str">
        <f t="shared" si="5"/>
        <v>,@</v>
      </c>
      <c r="N49" s="1" t="str">
        <f t="shared" si="6"/>
        <v xml:space="preserve"> = @, </v>
      </c>
      <c r="O49" s="1" t="str">
        <f t="shared" si="9"/>
        <v>error += ExcelUtil.CheckValue(excelVo..ToString()  , "", false, (null, null, ), (false, false, true), (false, false));</v>
      </c>
      <c r="P49" s="1" t="str">
        <f t="shared" si="10"/>
        <v>excelVo. = StringUtil.IsNotEmpty(ExcelUtil.GetCell(sheet, i, j).ToString().TrimEnd())? ExcelUtil.GetCell(sheet, i, j).ToString().TrimEnd().ToUpper():"";j++;//</v>
      </c>
      <c r="Q49" s="1" t="str">
        <f t="shared" si="11"/>
        <v>ExcelUtil.SetContent(sheet, row, column++, (string)item[""]);</v>
      </c>
      <c r="R49" s="1" t="str">
        <f t="shared" si="12"/>
        <v>paramDt.Add("@" ,  );//DECIMAL</v>
      </c>
      <c r="S49" s="1" t="str">
        <f t="shared" si="13"/>
        <v>paramDt.Add("@" , master. );//</v>
      </c>
      <c r="T49" s="1" t="str">
        <f t="shared" si="18"/>
        <v>{ name: '' , sort: '' },</v>
      </c>
      <c r="U49" s="1" t="str">
        <f t="shared" si="15"/>
        <v>"":"",</v>
      </c>
      <c r="V49" s="1" t="str">
        <f t="shared" si="16"/>
        <v>this.vo. = 0 ; //</v>
      </c>
    </row>
    <row r="50" spans="1:22" x14ac:dyDescent="0.4">
      <c r="A50" s="1" t="s">
        <v>106</v>
      </c>
      <c r="D50" s="1" t="s">
        <v>6</v>
      </c>
      <c r="H50" s="1" t="str">
        <f t="shared" si="17"/>
        <v>decimal?</v>
      </c>
      <c r="I50" s="1" t="str">
        <f t="shared" si="8"/>
        <v xml:space="preserve">///&lt;summary&gt;
///
///&lt;/summary&gt;
public decimal?  {get; set;}
</v>
      </c>
      <c r="J50" s="1" t="str">
        <f t="shared" si="2"/>
        <v xml:space="preserve"> AND t1. = @</v>
      </c>
      <c r="K50" s="1" t="str">
        <f t="shared" si="3"/>
        <v>t1.        AS ,</v>
      </c>
      <c r="L50" s="1" t="str">
        <f t="shared" si="4"/>
        <v>,</v>
      </c>
      <c r="M50" s="1" t="str">
        <f t="shared" si="5"/>
        <v>,@</v>
      </c>
      <c r="N50" s="1" t="str">
        <f t="shared" si="6"/>
        <v xml:space="preserve"> = @, </v>
      </c>
      <c r="O50" s="1" t="str">
        <f t="shared" si="9"/>
        <v>error += ExcelUtil.CheckValue(excelVo..ToString()  , "", false, (null, null, ), (false, false, true), (false, false));</v>
      </c>
      <c r="P50" s="1" t="str">
        <f t="shared" si="10"/>
        <v>excelVo. = StringUtil.IsNotEmpty(ExcelUtil.GetCell(sheet, i, j).ToString().TrimEnd())? ExcelUtil.GetCell(sheet, i, j).ToString().TrimEnd().ToUpper():"";j++;//</v>
      </c>
      <c r="Q50" s="1" t="str">
        <f t="shared" si="11"/>
        <v>ExcelUtil.SetContent(sheet, row, column++, (string)item[""]);</v>
      </c>
      <c r="R50" s="1" t="str">
        <f t="shared" si="12"/>
        <v>paramDt.Add("@" ,  );//DECIMAL</v>
      </c>
      <c r="S50" s="1" t="str">
        <f t="shared" si="13"/>
        <v>paramDt.Add("@" , master. );//</v>
      </c>
      <c r="T50" s="1" t="str">
        <f t="shared" si="18"/>
        <v>{ name: '' , sort: '' },</v>
      </c>
      <c r="U50" s="1" t="str">
        <f t="shared" si="15"/>
        <v>"":"",</v>
      </c>
      <c r="V50" s="1" t="str">
        <f t="shared" si="16"/>
        <v>this.vo. = 0 ; //</v>
      </c>
    </row>
    <row r="51" spans="1:22" x14ac:dyDescent="0.4">
      <c r="A51" s="1" t="s">
        <v>106</v>
      </c>
      <c r="D51" s="1" t="s">
        <v>6</v>
      </c>
      <c r="H51" s="1" t="str">
        <f t="shared" si="17"/>
        <v>decimal?</v>
      </c>
      <c r="I51" s="1" t="str">
        <f t="shared" si="8"/>
        <v xml:space="preserve">///&lt;summary&gt;
///
///&lt;/summary&gt;
public decimal?  {get; set;}
</v>
      </c>
      <c r="J51" s="1" t="str">
        <f t="shared" si="2"/>
        <v xml:space="preserve"> AND t1. = @</v>
      </c>
      <c r="K51" s="1" t="str">
        <f t="shared" si="3"/>
        <v>t1.        AS ,</v>
      </c>
      <c r="L51" s="1" t="str">
        <f t="shared" si="4"/>
        <v>,</v>
      </c>
      <c r="M51" s="1" t="str">
        <f t="shared" si="5"/>
        <v>,@</v>
      </c>
      <c r="N51" s="1" t="str">
        <f t="shared" si="6"/>
        <v xml:space="preserve"> = @, </v>
      </c>
      <c r="O51" s="1" t="str">
        <f t="shared" si="9"/>
        <v>error += ExcelUtil.CheckValue(excelVo..ToString()  , "", false, (null, null, ), (false, false, true), (false, false));</v>
      </c>
      <c r="P51" s="1" t="str">
        <f t="shared" si="10"/>
        <v>excelVo. = StringUtil.IsNotEmpty(ExcelUtil.GetCell(sheet, i, j).ToString().TrimEnd())? ExcelUtil.GetCell(sheet, i, j).ToString().TrimEnd().ToUpper():"";j++;//</v>
      </c>
      <c r="Q51" s="1" t="str">
        <f t="shared" si="11"/>
        <v>ExcelUtil.SetContent(sheet, row, column++, (string)item[""]);</v>
      </c>
      <c r="R51" s="1" t="str">
        <f t="shared" si="12"/>
        <v>paramDt.Add("@" ,  );//DECIMAL</v>
      </c>
      <c r="S51" s="1" t="str">
        <f t="shared" si="13"/>
        <v>paramDt.Add("@" , master. );//</v>
      </c>
      <c r="T51" s="1" t="str">
        <f t="shared" si="18"/>
        <v>{ name: '' , sort: '' },</v>
      </c>
      <c r="U51" s="1" t="str">
        <f t="shared" si="15"/>
        <v>"":"",</v>
      </c>
      <c r="V51" s="1" t="str">
        <f t="shared" si="16"/>
        <v>this.vo. = 0 ; //</v>
      </c>
    </row>
    <row r="52" spans="1:22" x14ac:dyDescent="0.4">
      <c r="A52" s="1" t="s">
        <v>106</v>
      </c>
      <c r="D52" s="1" t="s">
        <v>6</v>
      </c>
      <c r="H52" s="1" t="str">
        <f t="shared" si="17"/>
        <v>decimal?</v>
      </c>
      <c r="I52" s="1" t="str">
        <f t="shared" si="8"/>
        <v xml:space="preserve">///&lt;summary&gt;
///
///&lt;/summary&gt;
public decimal?  {get; set;}
</v>
      </c>
      <c r="J52" s="1" t="str">
        <f t="shared" si="2"/>
        <v xml:space="preserve"> AND t1. = @</v>
      </c>
      <c r="K52" s="1" t="str">
        <f t="shared" si="3"/>
        <v>t1.        AS ,</v>
      </c>
      <c r="L52" s="1" t="str">
        <f t="shared" si="4"/>
        <v>,</v>
      </c>
      <c r="M52" s="1" t="str">
        <f t="shared" si="5"/>
        <v>,@</v>
      </c>
      <c r="N52" s="1" t="str">
        <f t="shared" si="6"/>
        <v xml:space="preserve"> = @, </v>
      </c>
      <c r="O52" s="1" t="str">
        <f t="shared" si="9"/>
        <v>error += ExcelUtil.CheckValue(excelVo..ToString()  , "", false, (null, null, ), (false, false, true), (false, false));</v>
      </c>
      <c r="P52" s="1" t="str">
        <f t="shared" si="10"/>
        <v>excelVo. = StringUtil.IsNotEmpty(ExcelUtil.GetCell(sheet, i, j).ToString().TrimEnd())? ExcelUtil.GetCell(sheet, i, j).ToString().TrimEnd().ToUpper():"";j++;//</v>
      </c>
      <c r="Q52" s="1" t="str">
        <f t="shared" si="11"/>
        <v>ExcelUtil.SetContent(sheet, row, column++, (string)item[""]);</v>
      </c>
      <c r="R52" s="1" t="str">
        <f t="shared" si="12"/>
        <v>paramDt.Add("@" ,  );//DECIMAL</v>
      </c>
      <c r="S52" s="1" t="str">
        <f t="shared" si="13"/>
        <v>paramDt.Add("@" , master. );//</v>
      </c>
      <c r="T52" s="1" t="str">
        <f t="shared" si="18"/>
        <v>{ name: '' , sort: '' },</v>
      </c>
      <c r="U52" s="1" t="str">
        <f t="shared" si="15"/>
        <v>"":"",</v>
      </c>
      <c r="V52" s="1" t="str">
        <f t="shared" si="16"/>
        <v>this.vo. = 0 ; //</v>
      </c>
    </row>
    <row r="53" spans="1:22" x14ac:dyDescent="0.4">
      <c r="A53" s="1" t="s">
        <v>106</v>
      </c>
      <c r="D53" s="1" t="s">
        <v>6</v>
      </c>
      <c r="H53" s="1" t="str">
        <f t="shared" si="17"/>
        <v>decimal?</v>
      </c>
      <c r="I53" s="1" t="str">
        <f t="shared" si="8"/>
        <v xml:space="preserve">///&lt;summary&gt;
///
///&lt;/summary&gt;
public decimal?  {get; set;}
</v>
      </c>
      <c r="J53" s="1" t="str">
        <f t="shared" si="2"/>
        <v xml:space="preserve"> AND t1. = @</v>
      </c>
      <c r="K53" s="1" t="str">
        <f t="shared" si="3"/>
        <v>t1.        AS ,</v>
      </c>
      <c r="L53" s="1" t="str">
        <f t="shared" si="4"/>
        <v>,</v>
      </c>
      <c r="M53" s="1" t="str">
        <f t="shared" si="5"/>
        <v>,@</v>
      </c>
      <c r="N53" s="1" t="str">
        <f t="shared" si="6"/>
        <v xml:space="preserve"> = @, </v>
      </c>
      <c r="O53" s="1" t="str">
        <f t="shared" si="9"/>
        <v>error += ExcelUtil.CheckValue(excelVo..ToString()  , "", false, (null, null, ), (false, false, true), (false, false));</v>
      </c>
      <c r="P53" s="1" t="str">
        <f t="shared" si="10"/>
        <v>excelVo. = StringUtil.IsNotEmpty(ExcelUtil.GetCell(sheet, i, j).ToString().TrimEnd())? ExcelUtil.GetCell(sheet, i, j).ToString().TrimEnd().ToUpper():"";j++;//</v>
      </c>
      <c r="Q53" s="1" t="str">
        <f t="shared" si="11"/>
        <v>ExcelUtil.SetContent(sheet, row, column++, (string)item[""]);</v>
      </c>
      <c r="R53" s="1" t="str">
        <f t="shared" si="12"/>
        <v>paramDt.Add("@" ,  );//DECIMAL</v>
      </c>
      <c r="S53" s="1" t="str">
        <f t="shared" si="13"/>
        <v>paramDt.Add("@" , master. );//</v>
      </c>
      <c r="T53" s="1" t="str">
        <f t="shared" si="18"/>
        <v>{ name: '' , sort: '' },</v>
      </c>
      <c r="U53" s="1" t="str">
        <f t="shared" si="15"/>
        <v>"":"",</v>
      </c>
      <c r="V53" s="1" t="str">
        <f t="shared" si="16"/>
        <v>this.vo. = 0 ; //</v>
      </c>
    </row>
    <row r="54" spans="1:22" x14ac:dyDescent="0.4">
      <c r="A54" s="1" t="s">
        <v>106</v>
      </c>
      <c r="D54" s="1" t="s">
        <v>6</v>
      </c>
      <c r="H54" s="1" t="str">
        <f t="shared" si="17"/>
        <v>decimal?</v>
      </c>
      <c r="I54" s="1" t="str">
        <f t="shared" si="8"/>
        <v xml:space="preserve">///&lt;summary&gt;
///
///&lt;/summary&gt;
public decimal?  {get; set;}
</v>
      </c>
      <c r="J54" s="1" t="str">
        <f t="shared" si="2"/>
        <v xml:space="preserve"> AND t1. = @</v>
      </c>
      <c r="K54" s="1" t="str">
        <f t="shared" si="3"/>
        <v>t1.        AS ,</v>
      </c>
      <c r="L54" s="1" t="str">
        <f t="shared" si="4"/>
        <v>,</v>
      </c>
      <c r="M54" s="1" t="str">
        <f t="shared" si="5"/>
        <v>,@</v>
      </c>
      <c r="N54" s="1" t="str">
        <f t="shared" si="6"/>
        <v xml:space="preserve"> = @, </v>
      </c>
      <c r="O54" s="1" t="str">
        <f t="shared" si="9"/>
        <v>error += ExcelUtil.CheckValue(excelVo..ToString()  , "", false, (null, null, ), (false, false, true), (false, false));</v>
      </c>
      <c r="P54" s="1" t="str">
        <f t="shared" si="10"/>
        <v>excelVo. = StringUtil.IsNotEmpty(ExcelUtil.GetCell(sheet, i, j).ToString().TrimEnd())? ExcelUtil.GetCell(sheet, i, j).ToString().TrimEnd().ToUpper():"";j++;//</v>
      </c>
      <c r="Q54" s="1" t="str">
        <f t="shared" si="11"/>
        <v>ExcelUtil.SetContent(sheet, row, column++, (string)item[""]);</v>
      </c>
      <c r="R54" s="1" t="str">
        <f t="shared" si="12"/>
        <v>paramDt.Add("@" ,  );//DECIMAL</v>
      </c>
      <c r="S54" s="1" t="str">
        <f t="shared" si="13"/>
        <v>paramDt.Add("@" , master. );//</v>
      </c>
      <c r="T54" s="1" t="str">
        <f t="shared" si="18"/>
        <v>{ name: '' , sort: '' },</v>
      </c>
      <c r="U54" s="1" t="str">
        <f t="shared" si="15"/>
        <v>"":"",</v>
      </c>
      <c r="V54" s="1" t="str">
        <f t="shared" si="16"/>
        <v>this.vo. = 0 ; //</v>
      </c>
    </row>
    <row r="55" spans="1:22" x14ac:dyDescent="0.4">
      <c r="A55" s="1" t="s">
        <v>106</v>
      </c>
      <c r="D55" s="1" t="s">
        <v>6</v>
      </c>
      <c r="H55" s="1" t="str">
        <f t="shared" si="17"/>
        <v>decimal?</v>
      </c>
      <c r="I55" s="1" t="str">
        <f t="shared" si="8"/>
        <v xml:space="preserve">///&lt;summary&gt;
///
///&lt;/summary&gt;
public decimal?  {get; set;}
</v>
      </c>
      <c r="J55" s="1" t="str">
        <f t="shared" si="2"/>
        <v xml:space="preserve"> AND t1. = @</v>
      </c>
      <c r="K55" s="1" t="str">
        <f t="shared" si="3"/>
        <v>t1.        AS ,</v>
      </c>
      <c r="L55" s="1" t="str">
        <f t="shared" si="4"/>
        <v>,</v>
      </c>
      <c r="M55" s="1" t="str">
        <f t="shared" si="5"/>
        <v>,@</v>
      </c>
      <c r="N55" s="1" t="str">
        <f t="shared" si="6"/>
        <v xml:space="preserve"> = @, </v>
      </c>
      <c r="O55" s="1" t="str">
        <f t="shared" si="9"/>
        <v>error += ExcelUtil.CheckValue(excelVo..ToString()  , "", false, (null, null, ), (false, false, true), (false, false));</v>
      </c>
      <c r="P55" s="1" t="str">
        <f t="shared" si="10"/>
        <v>excelVo. = StringUtil.IsNotEmpty(ExcelUtil.GetCell(sheet, i, j).ToString().TrimEnd())? ExcelUtil.GetCell(sheet, i, j).ToString().TrimEnd().ToUpper():"";j++;//</v>
      </c>
      <c r="Q55" s="1" t="str">
        <f t="shared" si="11"/>
        <v>ExcelUtil.SetContent(sheet, row, column++, (string)item[""]);</v>
      </c>
      <c r="R55" s="1" t="str">
        <f t="shared" si="12"/>
        <v>paramDt.Add("@" ,  );//DECIMAL</v>
      </c>
      <c r="S55" s="1" t="str">
        <f t="shared" si="13"/>
        <v>paramDt.Add("@" , master. );//</v>
      </c>
      <c r="T55" s="1" t="str">
        <f t="shared" si="18"/>
        <v>{ name: '' , sort: '' },</v>
      </c>
      <c r="U55" s="1" t="str">
        <f t="shared" si="15"/>
        <v>"":"",</v>
      </c>
      <c r="V55" s="1" t="str">
        <f t="shared" si="16"/>
        <v>this.vo. = 0 ; //</v>
      </c>
    </row>
    <row r="56" spans="1:22" x14ac:dyDescent="0.4">
      <c r="A56" s="1" t="s">
        <v>106</v>
      </c>
      <c r="D56" s="1" t="s">
        <v>6</v>
      </c>
      <c r="H56" s="1" t="str">
        <f t="shared" si="17"/>
        <v>decimal?</v>
      </c>
      <c r="I56" s="1" t="str">
        <f t="shared" si="8"/>
        <v xml:space="preserve">///&lt;summary&gt;
///
///&lt;/summary&gt;
public decimal?  {get; set;}
</v>
      </c>
      <c r="J56" s="1" t="str">
        <f t="shared" si="2"/>
        <v xml:space="preserve"> AND t1. = @</v>
      </c>
      <c r="K56" s="1" t="str">
        <f t="shared" si="3"/>
        <v>t1.        AS ,</v>
      </c>
      <c r="L56" s="1" t="str">
        <f t="shared" si="4"/>
        <v>,</v>
      </c>
      <c r="M56" s="1" t="str">
        <f t="shared" si="5"/>
        <v>,@</v>
      </c>
      <c r="N56" s="1" t="str">
        <f t="shared" si="6"/>
        <v xml:space="preserve"> = @, </v>
      </c>
      <c r="O56" s="1" t="str">
        <f t="shared" si="9"/>
        <v>error += ExcelUtil.CheckValue(excelVo..ToString()  , "", false, (null, null, ), (false, false, true), (false, false));</v>
      </c>
      <c r="P56" s="1" t="str">
        <f t="shared" si="10"/>
        <v>excelVo. = StringUtil.IsNotEmpty(ExcelUtil.GetCell(sheet, i, j).ToString().TrimEnd())? ExcelUtil.GetCell(sheet, i, j).ToString().TrimEnd().ToUpper():"";j++;//</v>
      </c>
      <c r="Q56" s="1" t="str">
        <f t="shared" si="11"/>
        <v>ExcelUtil.SetContent(sheet, row, column++, (string)item[""]);</v>
      </c>
      <c r="R56" s="1" t="str">
        <f t="shared" si="12"/>
        <v>paramDt.Add("@" ,  );//DECIMAL</v>
      </c>
      <c r="S56" s="1" t="str">
        <f t="shared" si="13"/>
        <v>paramDt.Add("@" , master. );//</v>
      </c>
      <c r="T56" s="1" t="str">
        <f t="shared" si="18"/>
        <v>{ name: '' , sort: '' },</v>
      </c>
      <c r="U56" s="1" t="str">
        <f t="shared" si="15"/>
        <v>"":"",</v>
      </c>
      <c r="V56" s="1" t="str">
        <f t="shared" si="16"/>
        <v>this.vo. = 0 ; //</v>
      </c>
    </row>
    <row r="57" spans="1:22" x14ac:dyDescent="0.4">
      <c r="A57" s="1" t="s">
        <v>106</v>
      </c>
      <c r="D57" s="1" t="s">
        <v>6</v>
      </c>
      <c r="H57" s="1" t="str">
        <f t="shared" si="17"/>
        <v>decimal?</v>
      </c>
      <c r="I57" s="1" t="str">
        <f t="shared" si="8"/>
        <v xml:space="preserve">///&lt;summary&gt;
///
///&lt;/summary&gt;
public decimal?  {get; set;}
</v>
      </c>
      <c r="J57" s="1" t="str">
        <f t="shared" si="2"/>
        <v xml:space="preserve"> AND t1. = @</v>
      </c>
      <c r="K57" s="1" t="str">
        <f t="shared" si="3"/>
        <v>t1.        AS ,</v>
      </c>
      <c r="L57" s="1" t="str">
        <f t="shared" si="4"/>
        <v>,</v>
      </c>
      <c r="M57" s="1" t="str">
        <f t="shared" si="5"/>
        <v>,@</v>
      </c>
      <c r="N57" s="1" t="str">
        <f t="shared" si="6"/>
        <v xml:space="preserve"> = @, </v>
      </c>
      <c r="O57" s="1" t="str">
        <f t="shared" si="9"/>
        <v>error += ExcelUtil.CheckValue(excelVo..ToString()  , "", false, (null, null, ), (false, false, true), (false, false));</v>
      </c>
      <c r="P57" s="1" t="str">
        <f t="shared" si="10"/>
        <v>excelVo. = StringUtil.IsNotEmpty(ExcelUtil.GetCell(sheet, i, j).ToString().TrimEnd())? ExcelUtil.GetCell(sheet, i, j).ToString().TrimEnd().ToUpper():"";j++;//</v>
      </c>
      <c r="Q57" s="1" t="str">
        <f t="shared" si="11"/>
        <v>ExcelUtil.SetContent(sheet, row, column++, (string)item[""]);</v>
      </c>
      <c r="R57" s="1" t="str">
        <f t="shared" si="12"/>
        <v>paramDt.Add("@" ,  );//DECIMAL</v>
      </c>
      <c r="S57" s="1" t="str">
        <f t="shared" si="13"/>
        <v>paramDt.Add("@" , master. );//</v>
      </c>
      <c r="T57" s="1" t="str">
        <f t="shared" si="18"/>
        <v>{ name: '' , sort: '' },</v>
      </c>
      <c r="U57" s="1" t="str">
        <f t="shared" si="15"/>
        <v>"":"",</v>
      </c>
      <c r="V57" s="1" t="str">
        <f t="shared" si="16"/>
        <v>this.vo. = 0 ; //</v>
      </c>
    </row>
    <row r="58" spans="1:22" x14ac:dyDescent="0.4">
      <c r="A58" s="1" t="s">
        <v>106</v>
      </c>
      <c r="D58" s="1" t="s">
        <v>6</v>
      </c>
      <c r="H58" s="1" t="str">
        <f t="shared" si="17"/>
        <v>decimal?</v>
      </c>
      <c r="I58" s="1" t="str">
        <f t="shared" si="8"/>
        <v xml:space="preserve">///&lt;summary&gt;
///
///&lt;/summary&gt;
public decimal?  {get; set;}
</v>
      </c>
      <c r="J58" s="1" t="str">
        <f t="shared" si="2"/>
        <v xml:space="preserve"> AND t1. = @</v>
      </c>
      <c r="K58" s="1" t="str">
        <f t="shared" si="3"/>
        <v>t1.        AS ,</v>
      </c>
      <c r="L58" s="1" t="str">
        <f t="shared" si="4"/>
        <v>,</v>
      </c>
      <c r="M58" s="1" t="str">
        <f t="shared" si="5"/>
        <v>,@</v>
      </c>
      <c r="N58" s="1" t="str">
        <f t="shared" si="6"/>
        <v xml:space="preserve"> = @, </v>
      </c>
      <c r="O58" s="1" t="str">
        <f t="shared" si="9"/>
        <v>error += ExcelUtil.CheckValue(excelVo..ToString()  , "", false, (null, null, ), (false, false, true), (false, false));</v>
      </c>
      <c r="P58" s="1" t="str">
        <f t="shared" si="10"/>
        <v>excelVo. = StringUtil.IsNotEmpty(ExcelUtil.GetCell(sheet, i, j).ToString().TrimEnd())? ExcelUtil.GetCell(sheet, i, j).ToString().TrimEnd().ToUpper():"";j++;//</v>
      </c>
      <c r="Q58" s="1" t="str">
        <f t="shared" si="11"/>
        <v>ExcelUtil.SetContent(sheet, row, column++, (string)item[""]);</v>
      </c>
      <c r="R58" s="1" t="str">
        <f t="shared" si="12"/>
        <v>paramDt.Add("@" ,  );//DECIMAL</v>
      </c>
      <c r="S58" s="1" t="str">
        <f t="shared" si="13"/>
        <v>paramDt.Add("@" , master. );//</v>
      </c>
      <c r="T58" s="1" t="str">
        <f t="shared" si="18"/>
        <v>{ name: '' , sort: '' },</v>
      </c>
      <c r="U58" s="1" t="str">
        <f t="shared" si="15"/>
        <v>"":"",</v>
      </c>
      <c r="V58" s="1" t="str">
        <f t="shared" si="16"/>
        <v>this.vo. = 0 ; //</v>
      </c>
    </row>
    <row r="59" spans="1:22" x14ac:dyDescent="0.4">
      <c r="A59" s="1" t="s">
        <v>106</v>
      </c>
      <c r="D59" s="1" t="s">
        <v>6</v>
      </c>
      <c r="I59" s="1" t="str">
        <f t="shared" ref="I59:I88" si="19">"///&lt;summary&gt;"&amp;CHAR(10)&amp;"///"&amp;TRIM(C59)&amp;CHAR(10)&amp;"///&lt;/summary&gt;"&amp;CHAR(10)&amp;"public "&amp;H59&amp;" " &amp;TRIM(C59)&amp;" {get; set;}"&amp;CHAR(10)</f>
        <v xml:space="preserve">///&lt;summary&gt;
///
///&lt;/summary&gt;
public   {get; set;}
</v>
      </c>
      <c r="J59" s="1" t="str">
        <f t="shared" si="2"/>
        <v xml:space="preserve"> AND t1. = @</v>
      </c>
      <c r="K59" s="1" t="str">
        <f t="shared" si="3"/>
        <v>t1.        AS ,</v>
      </c>
      <c r="L59" s="1" t="str">
        <f t="shared" si="4"/>
        <v>,</v>
      </c>
      <c r="M59" s="1" t="str">
        <f t="shared" si="5"/>
        <v>,@</v>
      </c>
      <c r="N59" s="1" t="str">
        <f t="shared" si="6"/>
        <v xml:space="preserve"> = @, </v>
      </c>
      <c r="O59" s="1" t="str">
        <f t="shared" si="9"/>
        <v>error += ExcelUtil.CheckValue(excelVo..ToString()  , "", false, (null, null, ), (false, false, true), (false, false));</v>
      </c>
      <c r="P59" s="1" t="str">
        <f t="shared" si="10"/>
        <v>excelVo. = StringUtil.IsNotEmpty(ExcelUtil.GetCell(sheet, i, j).ToString().TrimEnd())? ExcelUtil.GetCell(sheet, i, j).ToString().TrimEnd().ToUpper():"";j++;//</v>
      </c>
      <c r="Q59" s="1" t="str">
        <f t="shared" si="11"/>
        <v>ExcelUtil.SetContent(sheet, row, column++, (string)item[""]);</v>
      </c>
      <c r="R59" s="1" t="str">
        <f t="shared" si="12"/>
        <v>paramDt.Add("@" ,  );//DECIMAL</v>
      </c>
      <c r="S59" s="1" t="str">
        <f t="shared" si="13"/>
        <v>paramDt.Add("@" , master. );//</v>
      </c>
      <c r="T59" s="1" t="str">
        <f t="shared" si="18"/>
        <v>{ name: '' , sort: '' },</v>
      </c>
      <c r="U59" s="1" t="str">
        <f t="shared" si="15"/>
        <v>"":"",</v>
      </c>
      <c r="V59" s="1" t="str">
        <f t="shared" si="16"/>
        <v>this.vo. = 0 ; //</v>
      </c>
    </row>
    <row r="60" spans="1:22" x14ac:dyDescent="0.4">
      <c r="A60" s="1" t="s">
        <v>106</v>
      </c>
      <c r="D60" s="1" t="s">
        <v>6</v>
      </c>
      <c r="I60" s="1" t="str">
        <f t="shared" si="19"/>
        <v xml:space="preserve">///&lt;summary&gt;
///
///&lt;/summary&gt;
public   {get; set;}
</v>
      </c>
      <c r="J60" s="1" t="str">
        <f t="shared" si="2"/>
        <v xml:space="preserve"> AND t1. = @</v>
      </c>
      <c r="K60" s="1" t="str">
        <f t="shared" si="3"/>
        <v>t1.        AS ,</v>
      </c>
      <c r="L60" s="1" t="str">
        <f t="shared" si="4"/>
        <v>,</v>
      </c>
      <c r="M60" s="1" t="str">
        <f t="shared" si="5"/>
        <v>,@</v>
      </c>
      <c r="N60" s="1" t="str">
        <f t="shared" si="6"/>
        <v xml:space="preserve"> = @, </v>
      </c>
      <c r="O60" s="1" t="str">
        <f t="shared" si="9"/>
        <v>error += ExcelUtil.CheckValue(excelVo..ToString()  , "", false, (null, null, ), (false, false, true), (false, false));</v>
      </c>
      <c r="P60" s="1" t="str">
        <f t="shared" si="10"/>
        <v>excelVo. = StringUtil.IsNotEmpty(ExcelUtil.GetCell(sheet, i, j).ToString().TrimEnd())? ExcelUtil.GetCell(sheet, i, j).ToString().TrimEnd().ToUpper():"";j++;//</v>
      </c>
      <c r="Q60" s="1" t="str">
        <f t="shared" si="11"/>
        <v>ExcelUtil.SetContent(sheet, row, column++, (string)item[""]);</v>
      </c>
      <c r="R60" s="1" t="str">
        <f t="shared" si="12"/>
        <v>paramDt.Add("@" ,  );//DECIMAL</v>
      </c>
      <c r="S60" s="1" t="str">
        <f t="shared" si="13"/>
        <v>paramDt.Add("@" , master. );//</v>
      </c>
      <c r="T60" s="1" t="str">
        <f t="shared" si="18"/>
        <v>{ name: '' , sort: '' },</v>
      </c>
      <c r="U60" s="1" t="str">
        <f t="shared" si="15"/>
        <v>"":"",</v>
      </c>
      <c r="V60" s="1" t="str">
        <f t="shared" si="16"/>
        <v>this.vo. = 0 ; //</v>
      </c>
    </row>
    <row r="61" spans="1:22" x14ac:dyDescent="0.4">
      <c r="A61" s="1" t="s">
        <v>106</v>
      </c>
      <c r="D61" s="1" t="s">
        <v>6</v>
      </c>
      <c r="I61" s="1" t="str">
        <f t="shared" si="19"/>
        <v xml:space="preserve">///&lt;summary&gt;
///
///&lt;/summary&gt;
public   {get; set;}
</v>
      </c>
      <c r="J61" s="1" t="str">
        <f t="shared" si="2"/>
        <v xml:space="preserve"> AND t1. = @</v>
      </c>
      <c r="K61" s="1" t="str">
        <f t="shared" si="3"/>
        <v>t1.        AS ,</v>
      </c>
      <c r="L61" s="1" t="str">
        <f t="shared" si="4"/>
        <v>,</v>
      </c>
      <c r="M61" s="1" t="str">
        <f t="shared" si="5"/>
        <v>,@</v>
      </c>
      <c r="N61" s="1" t="str">
        <f t="shared" si="6"/>
        <v xml:space="preserve"> = @, </v>
      </c>
      <c r="O61" s="1" t="str">
        <f t="shared" si="9"/>
        <v>error += ExcelUtil.CheckValue(excelVo..ToString()  , "", false, (null, null, ), (false, false, true), (false, false));</v>
      </c>
      <c r="P61" s="1" t="str">
        <f t="shared" si="10"/>
        <v>excelVo. = StringUtil.IsNotEmpty(ExcelUtil.GetCell(sheet, i, j).ToString().TrimEnd())? ExcelUtil.GetCell(sheet, i, j).ToString().TrimEnd().ToUpper():"";j++;//</v>
      </c>
      <c r="Q61" s="1" t="str">
        <f t="shared" si="11"/>
        <v>ExcelUtil.SetContent(sheet, row, column++, (string)item[""]);</v>
      </c>
      <c r="R61" s="1" t="str">
        <f t="shared" si="12"/>
        <v>paramDt.Add("@" ,  );//DECIMAL</v>
      </c>
      <c r="S61" s="1" t="str">
        <f t="shared" si="13"/>
        <v>paramDt.Add("@" , master. );//</v>
      </c>
      <c r="T61" s="1" t="str">
        <f t="shared" si="18"/>
        <v>{ name: '' , sort: '' },</v>
      </c>
      <c r="U61" s="1" t="str">
        <f t="shared" si="15"/>
        <v>"":"",</v>
      </c>
      <c r="V61" s="1" t="str">
        <f t="shared" si="16"/>
        <v>this.vo. = 0 ; //</v>
      </c>
    </row>
    <row r="62" spans="1:22" x14ac:dyDescent="0.4">
      <c r="A62" s="1" t="s">
        <v>106</v>
      </c>
      <c r="D62" s="1" t="s">
        <v>6</v>
      </c>
      <c r="I62" s="1" t="str">
        <f t="shared" si="19"/>
        <v xml:space="preserve">///&lt;summary&gt;
///
///&lt;/summary&gt;
public   {get; set;}
</v>
      </c>
      <c r="J62" s="1" t="str">
        <f t="shared" si="2"/>
        <v xml:space="preserve"> AND t1. = @</v>
      </c>
      <c r="K62" s="1" t="str">
        <f t="shared" si="3"/>
        <v>t1.        AS ,</v>
      </c>
      <c r="L62" s="1" t="str">
        <f t="shared" si="4"/>
        <v>,</v>
      </c>
      <c r="M62" s="1" t="str">
        <f t="shared" si="5"/>
        <v>,@</v>
      </c>
      <c r="N62" s="1" t="str">
        <f t="shared" si="6"/>
        <v xml:space="preserve"> = @, </v>
      </c>
      <c r="O62" s="1" t="str">
        <f t="shared" si="9"/>
        <v>error += ExcelUtil.CheckValue(excelVo..ToString()  , "", false, (null, null, ), (false, false, true), (false, false));</v>
      </c>
      <c r="P62" s="1" t="str">
        <f t="shared" si="10"/>
        <v>excelVo. = StringUtil.IsNotEmpty(ExcelUtil.GetCell(sheet, i, j).ToString().TrimEnd())? ExcelUtil.GetCell(sheet, i, j).ToString().TrimEnd().ToUpper():"";j++;//</v>
      </c>
      <c r="Q62" s="1" t="str">
        <f t="shared" si="11"/>
        <v>ExcelUtil.SetContent(sheet, row, column++, (string)item[""]);</v>
      </c>
      <c r="R62" s="1" t="str">
        <f t="shared" si="12"/>
        <v>paramDt.Add("@" ,  );//DECIMAL</v>
      </c>
      <c r="S62" s="1" t="str">
        <f t="shared" si="13"/>
        <v>paramDt.Add("@" , master. );//</v>
      </c>
      <c r="T62" s="1" t="str">
        <f t="shared" si="18"/>
        <v>{ name: '' , sort: '' },</v>
      </c>
      <c r="U62" s="1" t="str">
        <f t="shared" si="15"/>
        <v>"":"",</v>
      </c>
      <c r="V62" s="1" t="str">
        <f t="shared" si="16"/>
        <v>this.vo. = 0 ; //</v>
      </c>
    </row>
    <row r="63" spans="1:22" x14ac:dyDescent="0.4">
      <c r="A63" s="1" t="s">
        <v>106</v>
      </c>
      <c r="D63" s="1" t="s">
        <v>6</v>
      </c>
      <c r="I63" s="1" t="str">
        <f t="shared" si="19"/>
        <v xml:space="preserve">///&lt;summary&gt;
///
///&lt;/summary&gt;
public   {get; set;}
</v>
      </c>
      <c r="J63" s="1" t="str">
        <f t="shared" si="2"/>
        <v xml:space="preserve"> AND t1. = @</v>
      </c>
      <c r="K63" s="1" t="str">
        <f t="shared" si="3"/>
        <v>t1.        AS ,</v>
      </c>
      <c r="L63" s="1" t="str">
        <f t="shared" si="4"/>
        <v>,</v>
      </c>
      <c r="M63" s="1" t="str">
        <f t="shared" si="5"/>
        <v>,@</v>
      </c>
      <c r="N63" s="1" t="str">
        <f t="shared" si="6"/>
        <v xml:space="preserve"> = @, </v>
      </c>
      <c r="O63" s="1" t="str">
        <f t="shared" si="9"/>
        <v>error += ExcelUtil.CheckValue(excelVo..ToString()  , "", false, (null, null, ), (false, false, true), (false, false));</v>
      </c>
      <c r="P63" s="1" t="str">
        <f t="shared" si="10"/>
        <v>excelVo. = StringUtil.IsNotEmpty(ExcelUtil.GetCell(sheet, i, j).ToString().TrimEnd())? ExcelUtil.GetCell(sheet, i, j).ToString().TrimEnd().ToUpper():"";j++;//</v>
      </c>
      <c r="Q63" s="1" t="str">
        <f t="shared" si="11"/>
        <v>ExcelUtil.SetContent(sheet, row, column++, (string)item[""]);</v>
      </c>
      <c r="R63" s="1" t="str">
        <f t="shared" si="12"/>
        <v>paramDt.Add("@" ,  );//DECIMAL</v>
      </c>
      <c r="S63" s="1" t="str">
        <f t="shared" si="13"/>
        <v>paramDt.Add("@" , master. );//</v>
      </c>
      <c r="T63" s="1" t="str">
        <f t="shared" si="18"/>
        <v>{ name: '' , sort: '' },</v>
      </c>
      <c r="U63" s="1" t="str">
        <f t="shared" si="15"/>
        <v>"":"",</v>
      </c>
      <c r="V63" s="1" t="str">
        <f t="shared" si="16"/>
        <v>this.vo. = 0 ; //</v>
      </c>
    </row>
    <row r="64" spans="1:22" x14ac:dyDescent="0.4">
      <c r="A64" s="1" t="s">
        <v>106</v>
      </c>
      <c r="D64" s="1" t="s">
        <v>6</v>
      </c>
      <c r="I64" s="1" t="str">
        <f t="shared" si="19"/>
        <v xml:space="preserve">///&lt;summary&gt;
///
///&lt;/summary&gt;
public   {get; set;}
</v>
      </c>
      <c r="J64" s="1" t="str">
        <f t="shared" si="2"/>
        <v xml:space="preserve"> AND t1. = @</v>
      </c>
      <c r="K64" s="1" t="str">
        <f t="shared" si="3"/>
        <v>t1.        AS ,</v>
      </c>
      <c r="L64" s="1" t="str">
        <f t="shared" si="4"/>
        <v>,</v>
      </c>
      <c r="M64" s="1" t="str">
        <f t="shared" si="5"/>
        <v>,@</v>
      </c>
      <c r="N64" s="1" t="str">
        <f t="shared" si="6"/>
        <v xml:space="preserve"> = @, </v>
      </c>
      <c r="O64" s="1" t="str">
        <f t="shared" si="9"/>
        <v>error += ExcelUtil.CheckValue(excelVo..ToString()  , "", false, (null, null, ), (false, false, true), (false, false));</v>
      </c>
      <c r="P64" s="1" t="str">
        <f t="shared" si="10"/>
        <v>excelVo. = StringUtil.IsNotEmpty(ExcelUtil.GetCell(sheet, i, j).ToString().TrimEnd())? ExcelUtil.GetCell(sheet, i, j).ToString().TrimEnd().ToUpper():"";j++;//</v>
      </c>
      <c r="Q64" s="1" t="str">
        <f t="shared" si="11"/>
        <v>ExcelUtil.SetContent(sheet, row, column++, (string)item[""]);</v>
      </c>
      <c r="R64" s="1" t="str">
        <f t="shared" si="12"/>
        <v>paramDt.Add("@" ,  );//DECIMAL</v>
      </c>
      <c r="S64" s="1" t="str">
        <f t="shared" si="13"/>
        <v>paramDt.Add("@" , master. );//</v>
      </c>
      <c r="T64" s="1" t="str">
        <f t="shared" si="18"/>
        <v>{ name: '' , sort: '' },</v>
      </c>
      <c r="U64" s="1" t="str">
        <f t="shared" si="15"/>
        <v>"":"",</v>
      </c>
      <c r="V64" s="1" t="str">
        <f t="shared" si="16"/>
        <v>this.vo. = 0 ; //</v>
      </c>
    </row>
    <row r="65" spans="1:22" x14ac:dyDescent="0.4">
      <c r="A65" s="1" t="s">
        <v>106</v>
      </c>
      <c r="D65" s="1" t="s">
        <v>6</v>
      </c>
      <c r="I65" s="1" t="str">
        <f t="shared" si="19"/>
        <v xml:space="preserve">///&lt;summary&gt;
///
///&lt;/summary&gt;
public   {get; set;}
</v>
      </c>
      <c r="J65" s="1" t="str">
        <f t="shared" si="2"/>
        <v xml:space="preserve"> AND t1. = @</v>
      </c>
      <c r="K65" s="1" t="str">
        <f t="shared" si="3"/>
        <v>t1.        AS ,</v>
      </c>
      <c r="L65" s="1" t="str">
        <f t="shared" si="4"/>
        <v>,</v>
      </c>
      <c r="M65" s="1" t="str">
        <f t="shared" si="5"/>
        <v>,@</v>
      </c>
      <c r="N65" s="1" t="str">
        <f t="shared" si="6"/>
        <v xml:space="preserve"> = @, </v>
      </c>
      <c r="O65" s="1" t="str">
        <f t="shared" si="9"/>
        <v>error += ExcelUtil.CheckValue(excelVo..ToString()  , "", false, (null, null, ), (false, false, true), (false, false));</v>
      </c>
      <c r="P65" s="1" t="str">
        <f t="shared" si="10"/>
        <v>excelVo. = StringUtil.IsNotEmpty(ExcelUtil.GetCell(sheet, i, j).ToString().TrimEnd())? ExcelUtil.GetCell(sheet, i, j).ToString().TrimEnd().ToUpper():"";j++;//</v>
      </c>
      <c r="Q65" s="1" t="str">
        <f t="shared" si="11"/>
        <v>ExcelUtil.SetContent(sheet, row, column++, (string)item[""]);</v>
      </c>
      <c r="R65" s="1" t="str">
        <f t="shared" si="12"/>
        <v>paramDt.Add("@" ,  );//DECIMAL</v>
      </c>
      <c r="S65" s="1" t="str">
        <f t="shared" si="13"/>
        <v>paramDt.Add("@" , master. );//</v>
      </c>
      <c r="T65" s="1" t="str">
        <f t="shared" si="18"/>
        <v>{ name: '' , sort: '' },</v>
      </c>
      <c r="U65" s="1" t="str">
        <f t="shared" si="15"/>
        <v>"":"",</v>
      </c>
      <c r="V65" s="1" t="str">
        <f t="shared" si="16"/>
        <v>this.vo. = 0 ; //</v>
      </c>
    </row>
    <row r="66" spans="1:22" x14ac:dyDescent="0.4">
      <c r="A66" s="1" t="s">
        <v>106</v>
      </c>
      <c r="D66" s="1" t="s">
        <v>6</v>
      </c>
      <c r="I66" s="1" t="str">
        <f t="shared" si="19"/>
        <v xml:space="preserve">///&lt;summary&gt;
///
///&lt;/summary&gt;
public   {get; set;}
</v>
      </c>
      <c r="J66" s="1" t="str">
        <f t="shared" si="2"/>
        <v xml:space="preserve"> AND t1. = @</v>
      </c>
      <c r="K66" s="1" t="str">
        <f t="shared" si="3"/>
        <v>t1.        AS ,</v>
      </c>
      <c r="L66" s="1" t="str">
        <f t="shared" si="4"/>
        <v>,</v>
      </c>
      <c r="M66" s="1" t="str">
        <f t="shared" si="5"/>
        <v>,@</v>
      </c>
      <c r="N66" s="1" t="str">
        <f t="shared" si="6"/>
        <v xml:space="preserve"> = @, </v>
      </c>
      <c r="O66" s="1" t="str">
        <f t="shared" si="9"/>
        <v>error += ExcelUtil.CheckValue(excelVo..ToString()  , "", false, (null, null, ), (false, false, true), (false, false));</v>
      </c>
      <c r="P66" s="1" t="str">
        <f t="shared" si="10"/>
        <v>excelVo. = StringUtil.IsNotEmpty(ExcelUtil.GetCell(sheet, i, j).ToString().TrimEnd())? ExcelUtil.GetCell(sheet, i, j).ToString().TrimEnd().ToUpper():"";j++;//</v>
      </c>
      <c r="Q66" s="1" t="str">
        <f t="shared" si="11"/>
        <v>ExcelUtil.SetContent(sheet, row, column++, (string)item[""]);</v>
      </c>
      <c r="R66" s="1" t="str">
        <f t="shared" si="12"/>
        <v>paramDt.Add("@" ,  );//DECIMAL</v>
      </c>
      <c r="S66" s="1" t="str">
        <f t="shared" si="13"/>
        <v>paramDt.Add("@" , master. );//</v>
      </c>
      <c r="T66" s="1" t="str">
        <f t="shared" si="18"/>
        <v>{ name: '' , sort: '' },</v>
      </c>
      <c r="U66" s="1" t="str">
        <f t="shared" si="15"/>
        <v>"":"",</v>
      </c>
      <c r="V66" s="1" t="str">
        <f t="shared" si="16"/>
        <v>this.vo. = 0 ; //</v>
      </c>
    </row>
    <row r="67" spans="1:22" x14ac:dyDescent="0.4">
      <c r="A67" s="1" t="s">
        <v>106</v>
      </c>
      <c r="D67" s="1" t="s">
        <v>6</v>
      </c>
      <c r="I67" s="1" t="str">
        <f t="shared" si="19"/>
        <v xml:space="preserve">///&lt;summary&gt;
///
///&lt;/summary&gt;
public   {get; set;}
</v>
      </c>
      <c r="J67" s="1" t="str">
        <f t="shared" si="2"/>
        <v xml:space="preserve"> AND t1. = @</v>
      </c>
      <c r="K67" s="1" t="str">
        <f t="shared" si="3"/>
        <v>t1.        AS ,</v>
      </c>
      <c r="L67" s="1" t="str">
        <f t="shared" si="4"/>
        <v>,</v>
      </c>
      <c r="M67" s="1" t="str">
        <f t="shared" si="5"/>
        <v>,@</v>
      </c>
      <c r="N67" s="1" t="str">
        <f t="shared" si="6"/>
        <v xml:space="preserve"> = @, </v>
      </c>
      <c r="O67" s="1" t="str">
        <f t="shared" si="9"/>
        <v>error += ExcelUtil.CheckValue(excelVo..ToString()  , "", false, (null, null, ), (false, false, true), (false, false));</v>
      </c>
      <c r="P67" s="1" t="str">
        <f t="shared" si="10"/>
        <v>excelVo. = StringUtil.IsNotEmpty(ExcelUtil.GetCell(sheet, i, j).ToString().TrimEnd())? ExcelUtil.GetCell(sheet, i, j).ToString().TrimEnd().ToUpper():"";j++;//</v>
      </c>
      <c r="Q67" s="1" t="str">
        <f t="shared" si="11"/>
        <v>ExcelUtil.SetContent(sheet, row, column++, (string)item[""]);</v>
      </c>
      <c r="R67" s="1" t="str">
        <f t="shared" si="12"/>
        <v>paramDt.Add("@" ,  );//DECIMAL</v>
      </c>
      <c r="S67" s="1" t="str">
        <f t="shared" si="13"/>
        <v>paramDt.Add("@" , master. );//</v>
      </c>
      <c r="T67" s="1" t="str">
        <f t="shared" si="18"/>
        <v>{ name: '' , sort: '' },</v>
      </c>
      <c r="U67" s="1" t="str">
        <f t="shared" si="15"/>
        <v>"":"",</v>
      </c>
      <c r="V67" s="1" t="str">
        <f t="shared" si="16"/>
        <v>this.vo. = 0 ; //</v>
      </c>
    </row>
    <row r="68" spans="1:22" x14ac:dyDescent="0.4">
      <c r="A68" s="1" t="s">
        <v>106</v>
      </c>
      <c r="D68" s="1" t="s">
        <v>6</v>
      </c>
      <c r="I68" s="1" t="str">
        <f t="shared" si="19"/>
        <v xml:space="preserve">///&lt;summary&gt;
///
///&lt;/summary&gt;
public   {get; set;}
</v>
      </c>
      <c r="J68" s="1" t="str">
        <f t="shared" si="2"/>
        <v xml:space="preserve"> AND t1. = @</v>
      </c>
      <c r="K68" s="1" t="str">
        <f t="shared" si="3"/>
        <v>t1.        AS ,</v>
      </c>
      <c r="L68" s="1" t="str">
        <f t="shared" si="4"/>
        <v>,</v>
      </c>
      <c r="M68" s="1" t="str">
        <f t="shared" si="5"/>
        <v>,@</v>
      </c>
      <c r="N68" s="1" t="str">
        <f t="shared" si="6"/>
        <v xml:space="preserve"> = @, </v>
      </c>
      <c r="O68" s="1" t="str">
        <f t="shared" si="9"/>
        <v>error += ExcelUtil.CheckValue(excelVo..ToString()  , "", false, (null, null, ), (false, false, true), (false, false));</v>
      </c>
      <c r="P68" s="1" t="str">
        <f t="shared" si="10"/>
        <v>excelVo. = StringUtil.IsNotEmpty(ExcelUtil.GetCell(sheet, i, j).ToString().TrimEnd())? ExcelUtil.GetCell(sheet, i, j).ToString().TrimEnd().ToUpper():"";j++;//</v>
      </c>
      <c r="Q68" s="1" t="str">
        <f t="shared" si="11"/>
        <v>ExcelUtil.SetContent(sheet, row, column++, (string)item[""]);</v>
      </c>
      <c r="R68" s="1" t="str">
        <f t="shared" si="12"/>
        <v>paramDt.Add("@" ,  );//DECIMAL</v>
      </c>
      <c r="S68" s="1" t="str">
        <f t="shared" si="13"/>
        <v>paramDt.Add("@" , master. );//</v>
      </c>
      <c r="T68" s="1" t="str">
        <f t="shared" si="18"/>
        <v>{ name: '' , sort: '' },</v>
      </c>
      <c r="U68" s="1" t="str">
        <f t="shared" si="15"/>
        <v>"":"",</v>
      </c>
      <c r="V68" s="1" t="str">
        <f t="shared" si="16"/>
        <v>this.vo. = 0 ; //</v>
      </c>
    </row>
    <row r="69" spans="1:22" x14ac:dyDescent="0.4">
      <c r="A69" s="1" t="s">
        <v>106</v>
      </c>
      <c r="D69" s="1" t="s">
        <v>6</v>
      </c>
      <c r="I69" s="1" t="str">
        <f t="shared" si="19"/>
        <v xml:space="preserve">///&lt;summary&gt;
///
///&lt;/summary&gt;
public   {get; set;}
</v>
      </c>
      <c r="J69" s="1" t="str">
        <f t="shared" ref="J69:J88" si="20">" AND t1."&amp;B69&amp;" = "&amp;"@"&amp;B69</f>
        <v xml:space="preserve"> AND t1. = @</v>
      </c>
      <c r="K69" s="1" t="str">
        <f t="shared" ref="K69:K88" si="21">"t1."&amp;B69&amp;"        "&amp;"AS "&amp;G69&amp;","</f>
        <v>t1.        AS ,</v>
      </c>
      <c r="L69" s="1" t="str">
        <f t="shared" ref="L69:L88" si="22">","&amp; B69</f>
        <v>,</v>
      </c>
      <c r="M69" s="1" t="str">
        <f t="shared" ref="M69:M88" si="23">",@"&amp;B69</f>
        <v>,@</v>
      </c>
      <c r="N69" s="1" t="str">
        <f t="shared" ref="N69:N88" si="24">B69&amp;" = "&amp;"@"&amp;B69&amp;", "</f>
        <v xml:space="preserve"> = @, </v>
      </c>
      <c r="O69" s="1" t="str">
        <f t="shared" si="9"/>
        <v>error += ExcelUtil.CheckValue(excelVo..ToString()  , "", false, (null, null, ), (false, false, true), (false, false));</v>
      </c>
      <c r="P69" s="1" t="str">
        <f t="shared" si="10"/>
        <v>excelVo. = StringUtil.IsNotEmpty(ExcelUtil.GetCell(sheet, i, j).ToString().TrimEnd())? ExcelUtil.GetCell(sheet, i, j).ToString().TrimEnd().ToUpper():"";j++;//</v>
      </c>
      <c r="Q69" s="1" t="str">
        <f t="shared" si="11"/>
        <v>ExcelUtil.SetContent(sheet, row, column++, (string)item[""]);</v>
      </c>
      <c r="R69" s="1" t="str">
        <f t="shared" si="12"/>
        <v>paramDt.Add("@" ,  );//DECIMAL</v>
      </c>
      <c r="S69" s="1" t="str">
        <f t="shared" si="13"/>
        <v>paramDt.Add("@" , master. );//</v>
      </c>
      <c r="T69" s="1" t="str">
        <f t="shared" si="18"/>
        <v>{ name: '' , sort: '' },</v>
      </c>
      <c r="U69" s="1" t="str">
        <f t="shared" si="15"/>
        <v>"":"",</v>
      </c>
      <c r="V69" s="1" t="str">
        <f t="shared" si="16"/>
        <v>this.vo. = 0 ; //</v>
      </c>
    </row>
    <row r="70" spans="1:22" x14ac:dyDescent="0.4">
      <c r="A70" s="1" t="s">
        <v>106</v>
      </c>
      <c r="D70" s="1" t="s">
        <v>6</v>
      </c>
      <c r="I70" s="1" t="str">
        <f t="shared" si="19"/>
        <v xml:space="preserve">///&lt;summary&gt;
///
///&lt;/summary&gt;
public   {get; set;}
</v>
      </c>
      <c r="J70" s="1" t="str">
        <f t="shared" si="20"/>
        <v xml:space="preserve"> AND t1. = @</v>
      </c>
      <c r="K70" s="1" t="str">
        <f t="shared" si="21"/>
        <v>t1.        AS ,</v>
      </c>
      <c r="L70" s="1" t="str">
        <f t="shared" si="22"/>
        <v>,</v>
      </c>
      <c r="M70" s="1" t="str">
        <f t="shared" si="23"/>
        <v>,@</v>
      </c>
      <c r="N70" s="1" t="str">
        <f t="shared" si="24"/>
        <v xml:space="preserve"> = @, </v>
      </c>
      <c r="O70" s="1" t="str">
        <f t="shared" ref="O70:O88" si="25">"error += ExcelUtil.CheckValue("&amp; IF(LOWER(D70)="decimal","excelVo."&amp;G70&amp;".ToString() ","excelVo."&amp;G70)  &amp;" , "&amp; """" &amp; TRIM(C70)&amp;""""&amp;", false, (null, null, "&amp;E70&amp;"), ("&amp;IF(LOWER(D70)="decimal","false","true")&amp;", false, "&amp;IF(LOWER(D70)="decimal","true","false")&amp;"), (false, false));"</f>
        <v>error += ExcelUtil.CheckValue(excelVo..ToString()  , "", false, (null, null, ), (false, false, true), (false, false));</v>
      </c>
      <c r="P70" s="1" t="str">
        <f t="shared" ref="P70:P88" si="26">"excelVo."&amp; G70&amp; " = StringUtil.IsNotEmpty(ExcelUtil.GetCell(sheet, i, j).ToString().TrimEnd())? ExcelUtil.GetCell(sheet, i, j).ToString().TrimEnd().ToUpper():"&amp; """" &amp; """" &amp;";j++;" &amp;"//"&amp;C70</f>
        <v>excelVo. = StringUtil.IsNotEmpty(ExcelUtil.GetCell(sheet, i, j).ToString().TrimEnd())? ExcelUtil.GetCell(sheet, i, j).ToString().TrimEnd().ToUpper():"";j++;//</v>
      </c>
      <c r="Q70" s="1" t="str">
        <f t="shared" ref="Q70:Q88" si="27">"ExcelUtil.SetContent(sheet, row, column++, (string)item["&amp;""""&amp;F70 &amp;""""&amp;"]);"</f>
        <v>ExcelUtil.SetContent(sheet, row, column++, (string)item[""]);</v>
      </c>
      <c r="R70" s="1" t="str">
        <f t="shared" ref="R70:R88" si="28">"paramDt.Add("&amp; """" &amp;"@"&amp; B70&amp; """" &amp;" , "&amp; G70 &amp;" );//"&amp;D70</f>
        <v>paramDt.Add("@" ,  );//DECIMAL</v>
      </c>
      <c r="S70" s="1" t="str">
        <f t="shared" ref="S70:S88" si="29">"paramDt.Add("&amp; """" &amp;"@"&amp; B70&amp; """" &amp;" , master."&amp; G70 &amp;" );//"&amp;C70</f>
        <v>paramDt.Add("@" , master. );//</v>
      </c>
      <c r="T70" s="1" t="str">
        <f t="shared" si="18"/>
        <v>{ name: '' , sort: '' },</v>
      </c>
      <c r="U70" s="1" t="str">
        <f t="shared" ref="U70:U88" si="30">""""&amp;F70&amp;""""&amp;":"&amp;""""&amp;TRIM(C70)&amp;""""&amp;","</f>
        <v>"":"",</v>
      </c>
      <c r="V70" s="1" t="str">
        <f t="shared" ref="V70:V88" si="31">IF(LOWER(D70)="decimal","this.vo."&amp;F70&amp;" = "&amp;0,"this.vo."&amp;F70&amp;" = ''")&amp;" ; //"&amp;TRIM(C70)</f>
        <v>this.vo. = 0 ; //</v>
      </c>
    </row>
    <row r="71" spans="1:22" x14ac:dyDescent="0.4">
      <c r="A71" s="1" t="s">
        <v>106</v>
      </c>
      <c r="D71" s="1" t="s">
        <v>6</v>
      </c>
      <c r="I71" s="1" t="str">
        <f t="shared" si="19"/>
        <v xml:space="preserve">///&lt;summary&gt;
///
///&lt;/summary&gt;
public   {get; set;}
</v>
      </c>
      <c r="J71" s="1" t="str">
        <f t="shared" si="20"/>
        <v xml:space="preserve"> AND t1. = @</v>
      </c>
      <c r="K71" s="1" t="str">
        <f t="shared" si="21"/>
        <v>t1.        AS ,</v>
      </c>
      <c r="L71" s="1" t="str">
        <f t="shared" si="22"/>
        <v>,</v>
      </c>
      <c r="M71" s="1" t="str">
        <f t="shared" si="23"/>
        <v>,@</v>
      </c>
      <c r="N71" s="1" t="str">
        <f t="shared" si="24"/>
        <v xml:space="preserve"> = @, </v>
      </c>
      <c r="O71" s="1" t="str">
        <f t="shared" si="25"/>
        <v>error += ExcelUtil.CheckValue(excelVo..ToString()  , "", false, (null, null, ), (false, false, true), (false, false));</v>
      </c>
      <c r="P71" s="1" t="str">
        <f t="shared" si="26"/>
        <v>excelVo. = StringUtil.IsNotEmpty(ExcelUtil.GetCell(sheet, i, j).ToString().TrimEnd())? ExcelUtil.GetCell(sheet, i, j).ToString().TrimEnd().ToUpper():"";j++;//</v>
      </c>
      <c r="Q71" s="1" t="str">
        <f t="shared" si="27"/>
        <v>ExcelUtil.SetContent(sheet, row, column++, (string)item[""]);</v>
      </c>
      <c r="R71" s="1" t="str">
        <f t="shared" si="28"/>
        <v>paramDt.Add("@" ,  );//DECIMAL</v>
      </c>
      <c r="S71" s="1" t="str">
        <f t="shared" si="29"/>
        <v>paramDt.Add("@" , master. );//</v>
      </c>
      <c r="T71" s="1" t="str">
        <f t="shared" si="18"/>
        <v>{ name: '' , sort: '' },</v>
      </c>
      <c r="U71" s="1" t="str">
        <f t="shared" si="30"/>
        <v>"":"",</v>
      </c>
      <c r="V71" s="1" t="str">
        <f t="shared" si="31"/>
        <v>this.vo. = 0 ; //</v>
      </c>
    </row>
    <row r="72" spans="1:22" x14ac:dyDescent="0.4">
      <c r="A72" s="1" t="s">
        <v>106</v>
      </c>
      <c r="D72" s="1" t="s">
        <v>6</v>
      </c>
      <c r="I72" s="1" t="str">
        <f t="shared" si="19"/>
        <v xml:space="preserve">///&lt;summary&gt;
///
///&lt;/summary&gt;
public   {get; set;}
</v>
      </c>
      <c r="J72" s="1" t="str">
        <f t="shared" si="20"/>
        <v xml:space="preserve"> AND t1. = @</v>
      </c>
      <c r="K72" s="1" t="str">
        <f t="shared" si="21"/>
        <v>t1.        AS ,</v>
      </c>
      <c r="L72" s="1" t="str">
        <f t="shared" si="22"/>
        <v>,</v>
      </c>
      <c r="M72" s="1" t="str">
        <f t="shared" si="23"/>
        <v>,@</v>
      </c>
      <c r="N72" s="1" t="str">
        <f t="shared" si="24"/>
        <v xml:space="preserve"> = @, </v>
      </c>
      <c r="O72" s="1" t="str">
        <f t="shared" si="25"/>
        <v>error += ExcelUtil.CheckValue(excelVo..ToString()  , "", false, (null, null, ), (false, false, true), (false, false));</v>
      </c>
      <c r="P72" s="1" t="str">
        <f t="shared" si="26"/>
        <v>excelVo. = StringUtil.IsNotEmpty(ExcelUtil.GetCell(sheet, i, j).ToString().TrimEnd())? ExcelUtil.GetCell(sheet, i, j).ToString().TrimEnd().ToUpper():"";j++;//</v>
      </c>
      <c r="Q72" s="1" t="str">
        <f t="shared" si="27"/>
        <v>ExcelUtil.SetContent(sheet, row, column++, (string)item[""]);</v>
      </c>
      <c r="R72" s="1" t="str">
        <f t="shared" si="28"/>
        <v>paramDt.Add("@" ,  );//DECIMAL</v>
      </c>
      <c r="S72" s="1" t="str">
        <f t="shared" si="29"/>
        <v>paramDt.Add("@" , master. );//</v>
      </c>
      <c r="T72" s="1" t="str">
        <f t="shared" si="18"/>
        <v>{ name: '' , sort: '' },</v>
      </c>
      <c r="U72" s="1" t="str">
        <f t="shared" si="30"/>
        <v>"":"",</v>
      </c>
      <c r="V72" s="1" t="str">
        <f t="shared" si="31"/>
        <v>this.vo. = 0 ; //</v>
      </c>
    </row>
    <row r="73" spans="1:22" x14ac:dyDescent="0.4">
      <c r="A73" s="1" t="s">
        <v>106</v>
      </c>
      <c r="D73" s="1" t="s">
        <v>6</v>
      </c>
      <c r="I73" s="1" t="str">
        <f t="shared" si="19"/>
        <v xml:space="preserve">///&lt;summary&gt;
///
///&lt;/summary&gt;
public   {get; set;}
</v>
      </c>
      <c r="J73" s="1" t="str">
        <f t="shared" si="20"/>
        <v xml:space="preserve"> AND t1. = @</v>
      </c>
      <c r="K73" s="1" t="str">
        <f t="shared" si="21"/>
        <v>t1.        AS ,</v>
      </c>
      <c r="L73" s="1" t="str">
        <f t="shared" si="22"/>
        <v>,</v>
      </c>
      <c r="M73" s="1" t="str">
        <f t="shared" si="23"/>
        <v>,@</v>
      </c>
      <c r="N73" s="1" t="str">
        <f t="shared" si="24"/>
        <v xml:space="preserve"> = @, </v>
      </c>
      <c r="O73" s="1" t="str">
        <f t="shared" si="25"/>
        <v>error += ExcelUtil.CheckValue(excelVo..ToString()  , "", false, (null, null, ), (false, false, true), (false, false));</v>
      </c>
      <c r="P73" s="1" t="str">
        <f t="shared" si="26"/>
        <v>excelVo. = StringUtil.IsNotEmpty(ExcelUtil.GetCell(sheet, i, j).ToString().TrimEnd())? ExcelUtil.GetCell(sheet, i, j).ToString().TrimEnd().ToUpper():"";j++;//</v>
      </c>
      <c r="Q73" s="1" t="str">
        <f t="shared" si="27"/>
        <v>ExcelUtil.SetContent(sheet, row, column++, (string)item[""]);</v>
      </c>
      <c r="R73" s="1" t="str">
        <f t="shared" si="28"/>
        <v>paramDt.Add("@" ,  );//DECIMAL</v>
      </c>
      <c r="S73" s="1" t="str">
        <f t="shared" si="29"/>
        <v>paramDt.Add("@" , master. );//</v>
      </c>
      <c r="T73" s="1" t="str">
        <f t="shared" si="18"/>
        <v>{ name: '' , sort: '' },</v>
      </c>
      <c r="U73" s="1" t="str">
        <f t="shared" si="30"/>
        <v>"":"",</v>
      </c>
      <c r="V73" s="1" t="str">
        <f t="shared" si="31"/>
        <v>this.vo. = 0 ; //</v>
      </c>
    </row>
    <row r="74" spans="1:22" x14ac:dyDescent="0.4">
      <c r="A74" s="1" t="s">
        <v>106</v>
      </c>
      <c r="D74" s="1" t="s">
        <v>6</v>
      </c>
      <c r="I74" s="1" t="str">
        <f t="shared" si="19"/>
        <v xml:space="preserve">///&lt;summary&gt;
///
///&lt;/summary&gt;
public   {get; set;}
</v>
      </c>
      <c r="J74" s="1" t="str">
        <f t="shared" si="20"/>
        <v xml:space="preserve"> AND t1. = @</v>
      </c>
      <c r="K74" s="1" t="str">
        <f t="shared" si="21"/>
        <v>t1.        AS ,</v>
      </c>
      <c r="L74" s="1" t="str">
        <f t="shared" si="22"/>
        <v>,</v>
      </c>
      <c r="M74" s="1" t="str">
        <f t="shared" si="23"/>
        <v>,@</v>
      </c>
      <c r="N74" s="1" t="str">
        <f t="shared" si="24"/>
        <v xml:space="preserve"> = @, </v>
      </c>
      <c r="O74" s="1" t="str">
        <f t="shared" si="25"/>
        <v>error += ExcelUtil.CheckValue(excelVo..ToString()  , "", false, (null, null, ), (false, false, true), (false, false));</v>
      </c>
      <c r="P74" s="1" t="str">
        <f t="shared" si="26"/>
        <v>excelVo. = StringUtil.IsNotEmpty(ExcelUtil.GetCell(sheet, i, j).ToString().TrimEnd())? ExcelUtil.GetCell(sheet, i, j).ToString().TrimEnd().ToUpper():"";j++;//</v>
      </c>
      <c r="Q74" s="1" t="str">
        <f t="shared" si="27"/>
        <v>ExcelUtil.SetContent(sheet, row, column++, (string)item[""]);</v>
      </c>
      <c r="R74" s="1" t="str">
        <f t="shared" si="28"/>
        <v>paramDt.Add("@" ,  );//DECIMAL</v>
      </c>
      <c r="S74" s="1" t="str">
        <f t="shared" si="29"/>
        <v>paramDt.Add("@" , master. );//</v>
      </c>
      <c r="T74" s="1" t="str">
        <f t="shared" si="18"/>
        <v>{ name: '' , sort: '' },</v>
      </c>
      <c r="U74" s="1" t="str">
        <f t="shared" si="30"/>
        <v>"":"",</v>
      </c>
      <c r="V74" s="1" t="str">
        <f t="shared" si="31"/>
        <v>this.vo. = 0 ; //</v>
      </c>
    </row>
    <row r="75" spans="1:22" x14ac:dyDescent="0.4">
      <c r="A75" s="1" t="s">
        <v>106</v>
      </c>
      <c r="D75" s="1" t="s">
        <v>6</v>
      </c>
      <c r="I75" s="1" t="str">
        <f t="shared" si="19"/>
        <v xml:space="preserve">///&lt;summary&gt;
///
///&lt;/summary&gt;
public   {get; set;}
</v>
      </c>
      <c r="J75" s="1" t="str">
        <f t="shared" si="20"/>
        <v xml:space="preserve"> AND t1. = @</v>
      </c>
      <c r="K75" s="1" t="str">
        <f t="shared" si="21"/>
        <v>t1.        AS ,</v>
      </c>
      <c r="L75" s="1" t="str">
        <f t="shared" si="22"/>
        <v>,</v>
      </c>
      <c r="M75" s="1" t="str">
        <f t="shared" si="23"/>
        <v>,@</v>
      </c>
      <c r="N75" s="1" t="str">
        <f t="shared" si="24"/>
        <v xml:space="preserve"> = @, </v>
      </c>
      <c r="O75" s="1" t="str">
        <f t="shared" si="25"/>
        <v>error += ExcelUtil.CheckValue(excelVo..ToString()  , "", false, (null, null, ), (false, false, true), (false, false));</v>
      </c>
      <c r="P75" s="1" t="str">
        <f t="shared" si="26"/>
        <v>excelVo. = StringUtil.IsNotEmpty(ExcelUtil.GetCell(sheet, i, j).ToString().TrimEnd())? ExcelUtil.GetCell(sheet, i, j).ToString().TrimEnd().ToUpper():"";j++;//</v>
      </c>
      <c r="Q75" s="1" t="str">
        <f t="shared" si="27"/>
        <v>ExcelUtil.SetContent(sheet, row, column++, (string)item[""]);</v>
      </c>
      <c r="R75" s="1" t="str">
        <f t="shared" si="28"/>
        <v>paramDt.Add("@" ,  );//DECIMAL</v>
      </c>
      <c r="S75" s="1" t="str">
        <f t="shared" si="29"/>
        <v>paramDt.Add("@" , master. );//</v>
      </c>
      <c r="T75" s="1" t="str">
        <f t="shared" si="18"/>
        <v>{ name: '' , sort: '' },</v>
      </c>
      <c r="U75" s="1" t="str">
        <f t="shared" si="30"/>
        <v>"":"",</v>
      </c>
      <c r="V75" s="1" t="str">
        <f t="shared" si="31"/>
        <v>this.vo. = 0 ; //</v>
      </c>
    </row>
    <row r="76" spans="1:22" x14ac:dyDescent="0.4">
      <c r="A76" s="1" t="s">
        <v>106</v>
      </c>
      <c r="D76" s="1" t="s">
        <v>6</v>
      </c>
      <c r="I76" s="1" t="str">
        <f t="shared" si="19"/>
        <v xml:space="preserve">///&lt;summary&gt;
///
///&lt;/summary&gt;
public   {get; set;}
</v>
      </c>
      <c r="J76" s="1" t="str">
        <f t="shared" si="20"/>
        <v xml:space="preserve"> AND t1. = @</v>
      </c>
      <c r="K76" s="1" t="str">
        <f t="shared" si="21"/>
        <v>t1.        AS ,</v>
      </c>
      <c r="L76" s="1" t="str">
        <f t="shared" si="22"/>
        <v>,</v>
      </c>
      <c r="M76" s="1" t="str">
        <f t="shared" si="23"/>
        <v>,@</v>
      </c>
      <c r="N76" s="1" t="str">
        <f t="shared" si="24"/>
        <v xml:space="preserve"> = @, </v>
      </c>
      <c r="O76" s="1" t="str">
        <f t="shared" si="25"/>
        <v>error += ExcelUtil.CheckValue(excelVo..ToString()  , "", false, (null, null, ), (false, false, true), (false, false));</v>
      </c>
      <c r="P76" s="1" t="str">
        <f t="shared" si="26"/>
        <v>excelVo. = StringUtil.IsNotEmpty(ExcelUtil.GetCell(sheet, i, j).ToString().TrimEnd())? ExcelUtil.GetCell(sheet, i, j).ToString().TrimEnd().ToUpper():"";j++;//</v>
      </c>
      <c r="Q76" s="1" t="str">
        <f t="shared" si="27"/>
        <v>ExcelUtil.SetContent(sheet, row, column++, (string)item[""]);</v>
      </c>
      <c r="R76" s="1" t="str">
        <f t="shared" si="28"/>
        <v>paramDt.Add("@" ,  );//DECIMAL</v>
      </c>
      <c r="S76" s="1" t="str">
        <f t="shared" si="29"/>
        <v>paramDt.Add("@" , master. );//</v>
      </c>
      <c r="T76" s="1" t="str">
        <f t="shared" si="18"/>
        <v>{ name: '' , sort: '' },</v>
      </c>
      <c r="U76" s="1" t="str">
        <f t="shared" si="30"/>
        <v>"":"",</v>
      </c>
      <c r="V76" s="1" t="str">
        <f t="shared" si="31"/>
        <v>this.vo. = 0 ; //</v>
      </c>
    </row>
    <row r="77" spans="1:22" x14ac:dyDescent="0.4">
      <c r="A77" s="1" t="s">
        <v>106</v>
      </c>
      <c r="D77" s="1" t="s">
        <v>6</v>
      </c>
      <c r="I77" s="1" t="str">
        <f t="shared" si="19"/>
        <v xml:space="preserve">///&lt;summary&gt;
///
///&lt;/summary&gt;
public   {get; set;}
</v>
      </c>
      <c r="J77" s="1" t="str">
        <f t="shared" si="20"/>
        <v xml:space="preserve"> AND t1. = @</v>
      </c>
      <c r="K77" s="1" t="str">
        <f t="shared" si="21"/>
        <v>t1.        AS ,</v>
      </c>
      <c r="L77" s="1" t="str">
        <f t="shared" si="22"/>
        <v>,</v>
      </c>
      <c r="M77" s="1" t="str">
        <f t="shared" si="23"/>
        <v>,@</v>
      </c>
      <c r="N77" s="1" t="str">
        <f t="shared" si="24"/>
        <v xml:space="preserve"> = @, </v>
      </c>
      <c r="O77" s="1" t="str">
        <f t="shared" si="25"/>
        <v>error += ExcelUtil.CheckValue(excelVo..ToString()  , "", false, (null, null, ), (false, false, true), (false, false));</v>
      </c>
      <c r="P77" s="1" t="str">
        <f t="shared" si="26"/>
        <v>excelVo. = StringUtil.IsNotEmpty(ExcelUtil.GetCell(sheet, i, j).ToString().TrimEnd())? ExcelUtil.GetCell(sheet, i, j).ToString().TrimEnd().ToUpper():"";j++;//</v>
      </c>
      <c r="Q77" s="1" t="str">
        <f t="shared" si="27"/>
        <v>ExcelUtil.SetContent(sheet, row, column++, (string)item[""]);</v>
      </c>
      <c r="R77" s="1" t="str">
        <f t="shared" si="28"/>
        <v>paramDt.Add("@" ,  );//DECIMAL</v>
      </c>
      <c r="S77" s="1" t="str">
        <f t="shared" si="29"/>
        <v>paramDt.Add("@" , master. );//</v>
      </c>
      <c r="T77" s="1" t="str">
        <f t="shared" si="18"/>
        <v>{ name: '' , sort: '' },</v>
      </c>
      <c r="U77" s="1" t="str">
        <f t="shared" si="30"/>
        <v>"":"",</v>
      </c>
      <c r="V77" s="1" t="str">
        <f t="shared" si="31"/>
        <v>this.vo. = 0 ; //</v>
      </c>
    </row>
    <row r="78" spans="1:22" x14ac:dyDescent="0.4">
      <c r="A78" s="1" t="s">
        <v>106</v>
      </c>
      <c r="D78" s="1" t="s">
        <v>6</v>
      </c>
      <c r="I78" s="1" t="str">
        <f t="shared" si="19"/>
        <v xml:space="preserve">///&lt;summary&gt;
///
///&lt;/summary&gt;
public   {get; set;}
</v>
      </c>
      <c r="J78" s="1" t="str">
        <f t="shared" si="20"/>
        <v xml:space="preserve"> AND t1. = @</v>
      </c>
      <c r="K78" s="1" t="str">
        <f t="shared" si="21"/>
        <v>t1.        AS ,</v>
      </c>
      <c r="L78" s="1" t="str">
        <f t="shared" si="22"/>
        <v>,</v>
      </c>
      <c r="M78" s="1" t="str">
        <f t="shared" si="23"/>
        <v>,@</v>
      </c>
      <c r="N78" s="1" t="str">
        <f t="shared" si="24"/>
        <v xml:space="preserve"> = @, </v>
      </c>
      <c r="O78" s="1" t="str">
        <f t="shared" si="25"/>
        <v>error += ExcelUtil.CheckValue(excelVo..ToString()  , "", false, (null, null, ), (false, false, true), (false, false));</v>
      </c>
      <c r="P78" s="1" t="str">
        <f t="shared" si="26"/>
        <v>excelVo. = StringUtil.IsNotEmpty(ExcelUtil.GetCell(sheet, i, j).ToString().TrimEnd())? ExcelUtil.GetCell(sheet, i, j).ToString().TrimEnd().ToUpper():"";j++;//</v>
      </c>
      <c r="Q78" s="1" t="str">
        <f t="shared" si="27"/>
        <v>ExcelUtil.SetContent(sheet, row, column++, (string)item[""]);</v>
      </c>
      <c r="R78" s="1" t="str">
        <f t="shared" si="28"/>
        <v>paramDt.Add("@" ,  );//DECIMAL</v>
      </c>
      <c r="S78" s="1" t="str">
        <f t="shared" si="29"/>
        <v>paramDt.Add("@" , master. );//</v>
      </c>
      <c r="T78" s="1" t="str">
        <f t="shared" si="18"/>
        <v>{ name: '' , sort: '' },</v>
      </c>
      <c r="U78" s="1" t="str">
        <f t="shared" si="30"/>
        <v>"":"",</v>
      </c>
      <c r="V78" s="1" t="str">
        <f t="shared" si="31"/>
        <v>this.vo. = 0 ; //</v>
      </c>
    </row>
    <row r="79" spans="1:22" x14ac:dyDescent="0.4">
      <c r="A79" s="1" t="s">
        <v>106</v>
      </c>
      <c r="D79" s="1" t="s">
        <v>5</v>
      </c>
      <c r="I79" s="1" t="str">
        <f t="shared" si="19"/>
        <v xml:space="preserve">///&lt;summary&gt;
///
///&lt;/summary&gt;
public   {get; set;}
</v>
      </c>
      <c r="J79" s="1" t="str">
        <f t="shared" si="20"/>
        <v xml:space="preserve"> AND t1. = @</v>
      </c>
      <c r="K79" s="1" t="str">
        <f t="shared" si="21"/>
        <v>t1.        AS ,</v>
      </c>
      <c r="L79" s="1" t="str">
        <f t="shared" si="22"/>
        <v>,</v>
      </c>
      <c r="M79" s="1" t="str">
        <f t="shared" si="23"/>
        <v>,@</v>
      </c>
      <c r="N79" s="1" t="str">
        <f t="shared" si="24"/>
        <v xml:space="preserve"> = @, </v>
      </c>
      <c r="O79" s="1" t="str">
        <f t="shared" si="25"/>
        <v>error += ExcelUtil.CheckValue(excelVo. , "", false, (null, null, ), (true, false, false), (false, false));</v>
      </c>
      <c r="P79" s="1" t="str">
        <f t="shared" si="26"/>
        <v>excelVo. = StringUtil.IsNotEmpty(ExcelUtil.GetCell(sheet, i, j).ToString().TrimEnd())? ExcelUtil.GetCell(sheet, i, j).ToString().TrimEnd().ToUpper():"";j++;//</v>
      </c>
      <c r="Q79" s="1" t="str">
        <f t="shared" si="27"/>
        <v>ExcelUtil.SetContent(sheet, row, column++, (string)item[""]);</v>
      </c>
      <c r="R79" s="1" t="str">
        <f t="shared" si="28"/>
        <v>paramDt.Add("@" ,  );//VARCHAR</v>
      </c>
      <c r="S79" s="1" t="str">
        <f t="shared" si="29"/>
        <v>paramDt.Add("@" , master. );//</v>
      </c>
      <c r="T79" s="1" t="str">
        <f t="shared" si="18"/>
        <v>{ name: '' , sort: '' },</v>
      </c>
      <c r="U79" s="1" t="str">
        <f t="shared" si="30"/>
        <v>"":"",</v>
      </c>
      <c r="V79" s="1" t="str">
        <f t="shared" si="31"/>
        <v>this.vo. = '' ; //</v>
      </c>
    </row>
    <row r="80" spans="1:22" x14ac:dyDescent="0.4">
      <c r="A80" s="1" t="s">
        <v>106</v>
      </c>
      <c r="D80" s="1" t="s">
        <v>5</v>
      </c>
      <c r="I80" s="1" t="str">
        <f t="shared" si="19"/>
        <v xml:space="preserve">///&lt;summary&gt;
///
///&lt;/summary&gt;
public   {get; set;}
</v>
      </c>
      <c r="J80" s="1" t="str">
        <f t="shared" si="20"/>
        <v xml:space="preserve"> AND t1. = @</v>
      </c>
      <c r="K80" s="1" t="str">
        <f t="shared" si="21"/>
        <v>t1.        AS ,</v>
      </c>
      <c r="L80" s="1" t="str">
        <f t="shared" si="22"/>
        <v>,</v>
      </c>
      <c r="M80" s="1" t="str">
        <f t="shared" si="23"/>
        <v>,@</v>
      </c>
      <c r="N80" s="1" t="str">
        <f t="shared" si="24"/>
        <v xml:space="preserve"> = @, </v>
      </c>
      <c r="O80" s="1" t="str">
        <f t="shared" si="25"/>
        <v>error += ExcelUtil.CheckValue(excelVo. , "", false, (null, null, ), (true, false, false), (false, false));</v>
      </c>
      <c r="P80" s="1" t="str">
        <f t="shared" si="26"/>
        <v>excelVo. = StringUtil.IsNotEmpty(ExcelUtil.GetCell(sheet, i, j).ToString().TrimEnd())? ExcelUtil.GetCell(sheet, i, j).ToString().TrimEnd().ToUpper():"";j++;//</v>
      </c>
      <c r="Q80" s="1" t="str">
        <f t="shared" si="27"/>
        <v>ExcelUtil.SetContent(sheet, row, column++, (string)item[""]);</v>
      </c>
      <c r="R80" s="1" t="str">
        <f t="shared" si="28"/>
        <v>paramDt.Add("@" ,  );//VARCHAR</v>
      </c>
      <c r="S80" s="1" t="str">
        <f t="shared" si="29"/>
        <v>paramDt.Add("@" , master. );//</v>
      </c>
      <c r="T80" s="1" t="str">
        <f t="shared" si="18"/>
        <v>{ name: '' , sort: '' },</v>
      </c>
      <c r="U80" s="1" t="str">
        <f t="shared" si="30"/>
        <v>"":"",</v>
      </c>
      <c r="V80" s="1" t="str">
        <f t="shared" si="31"/>
        <v>this.vo. = '' ; //</v>
      </c>
    </row>
    <row r="81" spans="1:22" x14ac:dyDescent="0.4">
      <c r="A81" s="1" t="s">
        <v>106</v>
      </c>
      <c r="D81" s="1" t="s">
        <v>5</v>
      </c>
      <c r="I81" s="1" t="str">
        <f t="shared" si="19"/>
        <v xml:space="preserve">///&lt;summary&gt;
///
///&lt;/summary&gt;
public   {get; set;}
</v>
      </c>
      <c r="J81" s="1" t="str">
        <f t="shared" si="20"/>
        <v xml:space="preserve"> AND t1. = @</v>
      </c>
      <c r="K81" s="1" t="str">
        <f t="shared" si="21"/>
        <v>t1.        AS ,</v>
      </c>
      <c r="L81" s="1" t="str">
        <f t="shared" si="22"/>
        <v>,</v>
      </c>
      <c r="M81" s="1" t="str">
        <f t="shared" si="23"/>
        <v>,@</v>
      </c>
      <c r="N81" s="1" t="str">
        <f t="shared" si="24"/>
        <v xml:space="preserve"> = @, </v>
      </c>
      <c r="O81" s="1" t="str">
        <f t="shared" si="25"/>
        <v>error += ExcelUtil.CheckValue(excelVo. , "", false, (null, null, ), (true, false, false), (false, false));</v>
      </c>
      <c r="P81" s="1" t="str">
        <f t="shared" si="26"/>
        <v>excelVo. = StringUtil.IsNotEmpty(ExcelUtil.GetCell(sheet, i, j).ToString().TrimEnd())? ExcelUtil.GetCell(sheet, i, j).ToString().TrimEnd().ToUpper():"";j++;//</v>
      </c>
      <c r="Q81" s="1" t="str">
        <f t="shared" si="27"/>
        <v>ExcelUtil.SetContent(sheet, row, column++, (string)item[""]);</v>
      </c>
      <c r="R81" s="1" t="str">
        <f t="shared" si="28"/>
        <v>paramDt.Add("@" ,  );//VARCHAR</v>
      </c>
      <c r="S81" s="1" t="str">
        <f t="shared" si="29"/>
        <v>paramDt.Add("@" , master. );//</v>
      </c>
      <c r="T81" s="1" t="str">
        <f t="shared" si="18"/>
        <v>{ name: '' , sort: '' },</v>
      </c>
      <c r="U81" s="1" t="str">
        <f t="shared" si="30"/>
        <v>"":"",</v>
      </c>
      <c r="V81" s="1" t="str">
        <f t="shared" si="31"/>
        <v>this.vo. = '' ; //</v>
      </c>
    </row>
    <row r="82" spans="1:22" x14ac:dyDescent="0.4">
      <c r="A82" s="1" t="s">
        <v>106</v>
      </c>
      <c r="D82" s="1" t="s">
        <v>5</v>
      </c>
      <c r="I82" s="1" t="str">
        <f t="shared" si="19"/>
        <v xml:space="preserve">///&lt;summary&gt;
///
///&lt;/summary&gt;
public   {get; set;}
</v>
      </c>
      <c r="J82" s="1" t="str">
        <f t="shared" si="20"/>
        <v xml:space="preserve"> AND t1. = @</v>
      </c>
      <c r="K82" s="1" t="str">
        <f t="shared" si="21"/>
        <v>t1.        AS ,</v>
      </c>
      <c r="L82" s="1" t="str">
        <f t="shared" si="22"/>
        <v>,</v>
      </c>
      <c r="M82" s="1" t="str">
        <f t="shared" si="23"/>
        <v>,@</v>
      </c>
      <c r="N82" s="1" t="str">
        <f t="shared" si="24"/>
        <v xml:space="preserve"> = @, </v>
      </c>
      <c r="O82" s="1" t="str">
        <f t="shared" si="25"/>
        <v>error += ExcelUtil.CheckValue(excelVo. , "", false, (null, null, ), (true, false, false), (false, false));</v>
      </c>
      <c r="P82" s="1" t="str">
        <f t="shared" si="26"/>
        <v>excelVo. = StringUtil.IsNotEmpty(ExcelUtil.GetCell(sheet, i, j).ToString().TrimEnd())? ExcelUtil.GetCell(sheet, i, j).ToString().TrimEnd().ToUpper():"";j++;//</v>
      </c>
      <c r="Q82" s="1" t="str">
        <f t="shared" si="27"/>
        <v>ExcelUtil.SetContent(sheet, row, column++, (string)item[""]);</v>
      </c>
      <c r="R82" s="1" t="str">
        <f t="shared" si="28"/>
        <v>paramDt.Add("@" ,  );//VARCHAR</v>
      </c>
      <c r="S82" s="1" t="str">
        <f t="shared" si="29"/>
        <v>paramDt.Add("@" , master. );//</v>
      </c>
      <c r="T82" s="1" t="str">
        <f t="shared" si="18"/>
        <v>{ name: '' , sort: '' },</v>
      </c>
      <c r="U82" s="1" t="str">
        <f t="shared" si="30"/>
        <v>"":"",</v>
      </c>
      <c r="V82" s="1" t="str">
        <f t="shared" si="31"/>
        <v>this.vo. = '' ; //</v>
      </c>
    </row>
    <row r="83" spans="1:22" x14ac:dyDescent="0.4">
      <c r="A83" s="1" t="s">
        <v>106</v>
      </c>
      <c r="D83" s="1" t="s">
        <v>5</v>
      </c>
      <c r="I83" s="1" t="str">
        <f t="shared" si="19"/>
        <v xml:space="preserve">///&lt;summary&gt;
///
///&lt;/summary&gt;
public   {get; set;}
</v>
      </c>
      <c r="J83" s="1" t="str">
        <f t="shared" si="20"/>
        <v xml:space="preserve"> AND t1. = @</v>
      </c>
      <c r="K83" s="1" t="str">
        <f t="shared" si="21"/>
        <v>t1.        AS ,</v>
      </c>
      <c r="L83" s="1" t="str">
        <f t="shared" si="22"/>
        <v>,</v>
      </c>
      <c r="M83" s="1" t="str">
        <f t="shared" si="23"/>
        <v>,@</v>
      </c>
      <c r="N83" s="1" t="str">
        <f t="shared" si="24"/>
        <v xml:space="preserve"> = @, </v>
      </c>
      <c r="O83" s="1" t="str">
        <f t="shared" si="25"/>
        <v>error += ExcelUtil.CheckValue(excelVo. , "", false, (null, null, ), (true, false, false), (false, false));</v>
      </c>
      <c r="P83" s="1" t="str">
        <f t="shared" si="26"/>
        <v>excelVo. = StringUtil.IsNotEmpty(ExcelUtil.GetCell(sheet, i, j).ToString().TrimEnd())? ExcelUtil.GetCell(sheet, i, j).ToString().TrimEnd().ToUpper():"";j++;//</v>
      </c>
      <c r="Q83" s="1" t="str">
        <f t="shared" si="27"/>
        <v>ExcelUtil.SetContent(sheet, row, column++, (string)item[""]);</v>
      </c>
      <c r="R83" s="1" t="str">
        <f t="shared" si="28"/>
        <v>paramDt.Add("@" ,  );//VARCHAR</v>
      </c>
      <c r="S83" s="1" t="str">
        <f t="shared" si="29"/>
        <v>paramDt.Add("@" , master. );//</v>
      </c>
      <c r="T83" s="1" t="str">
        <f t="shared" si="18"/>
        <v>{ name: '' , sort: '' },</v>
      </c>
      <c r="U83" s="1" t="str">
        <f t="shared" si="30"/>
        <v>"":"",</v>
      </c>
      <c r="V83" s="1" t="str">
        <f t="shared" si="31"/>
        <v>this.vo. = '' ; //</v>
      </c>
    </row>
    <row r="84" spans="1:22" x14ac:dyDescent="0.4">
      <c r="A84" s="1" t="s">
        <v>106</v>
      </c>
      <c r="D84" s="1" t="s">
        <v>5</v>
      </c>
      <c r="I84" s="1" t="str">
        <f t="shared" si="19"/>
        <v xml:space="preserve">///&lt;summary&gt;
///
///&lt;/summary&gt;
public   {get; set;}
</v>
      </c>
      <c r="J84" s="1" t="str">
        <f t="shared" si="20"/>
        <v xml:space="preserve"> AND t1. = @</v>
      </c>
      <c r="K84" s="1" t="str">
        <f t="shared" si="21"/>
        <v>t1.        AS ,</v>
      </c>
      <c r="L84" s="1" t="str">
        <f t="shared" si="22"/>
        <v>,</v>
      </c>
      <c r="M84" s="1" t="str">
        <f t="shared" si="23"/>
        <v>,@</v>
      </c>
      <c r="N84" s="1" t="str">
        <f t="shared" si="24"/>
        <v xml:space="preserve"> = @, </v>
      </c>
      <c r="O84" s="1" t="str">
        <f t="shared" si="25"/>
        <v>error += ExcelUtil.CheckValue(excelVo. , "", false, (null, null, ), (true, false, false), (false, false));</v>
      </c>
      <c r="P84" s="1" t="str">
        <f t="shared" si="26"/>
        <v>excelVo. = StringUtil.IsNotEmpty(ExcelUtil.GetCell(sheet, i, j).ToString().TrimEnd())? ExcelUtil.GetCell(sheet, i, j).ToString().TrimEnd().ToUpper():"";j++;//</v>
      </c>
      <c r="Q84" s="1" t="str">
        <f t="shared" si="27"/>
        <v>ExcelUtil.SetContent(sheet, row, column++, (string)item[""]);</v>
      </c>
      <c r="R84" s="1" t="str">
        <f t="shared" si="28"/>
        <v>paramDt.Add("@" ,  );//VARCHAR</v>
      </c>
      <c r="S84" s="1" t="str">
        <f t="shared" si="29"/>
        <v>paramDt.Add("@" , master. );//</v>
      </c>
      <c r="T84" s="1" t="str">
        <f t="shared" si="18"/>
        <v>{ name: '' , sort: '' },</v>
      </c>
      <c r="U84" s="1" t="str">
        <f t="shared" si="30"/>
        <v>"":"",</v>
      </c>
      <c r="V84" s="1" t="str">
        <f t="shared" si="31"/>
        <v>this.vo. = '' ; //</v>
      </c>
    </row>
    <row r="85" spans="1:22" x14ac:dyDescent="0.4">
      <c r="A85" s="1" t="s">
        <v>106</v>
      </c>
      <c r="D85" s="1" t="s">
        <v>5</v>
      </c>
      <c r="I85" s="1" t="str">
        <f t="shared" si="19"/>
        <v xml:space="preserve">///&lt;summary&gt;
///
///&lt;/summary&gt;
public   {get; set;}
</v>
      </c>
      <c r="J85" s="1" t="str">
        <f t="shared" si="20"/>
        <v xml:space="preserve"> AND t1. = @</v>
      </c>
      <c r="K85" s="1" t="str">
        <f t="shared" si="21"/>
        <v>t1.        AS ,</v>
      </c>
      <c r="L85" s="1" t="str">
        <f t="shared" si="22"/>
        <v>,</v>
      </c>
      <c r="M85" s="1" t="str">
        <f t="shared" si="23"/>
        <v>,@</v>
      </c>
      <c r="N85" s="1" t="str">
        <f t="shared" si="24"/>
        <v xml:space="preserve"> = @, </v>
      </c>
      <c r="O85" s="1" t="str">
        <f t="shared" si="25"/>
        <v>error += ExcelUtil.CheckValue(excelVo. , "", false, (null, null, ), (true, false, false), (false, false));</v>
      </c>
      <c r="P85" s="1" t="str">
        <f t="shared" si="26"/>
        <v>excelVo. = StringUtil.IsNotEmpty(ExcelUtil.GetCell(sheet, i, j).ToString().TrimEnd())? ExcelUtil.GetCell(sheet, i, j).ToString().TrimEnd().ToUpper():"";j++;//</v>
      </c>
      <c r="Q85" s="1" t="str">
        <f t="shared" si="27"/>
        <v>ExcelUtil.SetContent(sheet, row, column++, (string)item[""]);</v>
      </c>
      <c r="R85" s="1" t="str">
        <f t="shared" si="28"/>
        <v>paramDt.Add("@" ,  );//VARCHAR</v>
      </c>
      <c r="S85" s="1" t="str">
        <f t="shared" si="29"/>
        <v>paramDt.Add("@" , master. );//</v>
      </c>
      <c r="T85" s="1" t="str">
        <f t="shared" si="18"/>
        <v>{ name: '' , sort: '' },</v>
      </c>
      <c r="U85" s="1" t="str">
        <f t="shared" si="30"/>
        <v>"":"",</v>
      </c>
      <c r="V85" s="1" t="str">
        <f t="shared" si="31"/>
        <v>this.vo. = '' ; //</v>
      </c>
    </row>
    <row r="86" spans="1:22" x14ac:dyDescent="0.4">
      <c r="A86" s="1" t="s">
        <v>106</v>
      </c>
      <c r="D86" s="1" t="s">
        <v>5</v>
      </c>
      <c r="I86" s="1" t="str">
        <f t="shared" si="19"/>
        <v xml:space="preserve">///&lt;summary&gt;
///
///&lt;/summary&gt;
public   {get; set;}
</v>
      </c>
      <c r="J86" s="1" t="str">
        <f t="shared" si="20"/>
        <v xml:space="preserve"> AND t1. = @</v>
      </c>
      <c r="K86" s="1" t="str">
        <f t="shared" si="21"/>
        <v>t1.        AS ,</v>
      </c>
      <c r="L86" s="1" t="str">
        <f t="shared" si="22"/>
        <v>,</v>
      </c>
      <c r="M86" s="1" t="str">
        <f t="shared" si="23"/>
        <v>,@</v>
      </c>
      <c r="N86" s="1" t="str">
        <f t="shared" si="24"/>
        <v xml:space="preserve"> = @, </v>
      </c>
      <c r="O86" s="1" t="str">
        <f t="shared" si="25"/>
        <v>error += ExcelUtil.CheckValue(excelVo. , "", false, (null, null, ), (true, false, false), (false, false));</v>
      </c>
      <c r="P86" s="1" t="str">
        <f t="shared" si="26"/>
        <v>excelVo. = StringUtil.IsNotEmpty(ExcelUtil.GetCell(sheet, i, j).ToString().TrimEnd())? ExcelUtil.GetCell(sheet, i, j).ToString().TrimEnd().ToUpper():"";j++;//</v>
      </c>
      <c r="Q86" s="1" t="str">
        <f t="shared" si="27"/>
        <v>ExcelUtil.SetContent(sheet, row, column++, (string)item[""]);</v>
      </c>
      <c r="R86" s="1" t="str">
        <f t="shared" si="28"/>
        <v>paramDt.Add("@" ,  );//VARCHAR</v>
      </c>
      <c r="S86" s="1" t="str">
        <f t="shared" si="29"/>
        <v>paramDt.Add("@" , master. );//</v>
      </c>
      <c r="T86" s="1" t="str">
        <f t="shared" si="18"/>
        <v>{ name: '' , sort: '' },</v>
      </c>
      <c r="U86" s="1" t="str">
        <f t="shared" si="30"/>
        <v>"":"",</v>
      </c>
      <c r="V86" s="1" t="str">
        <f t="shared" si="31"/>
        <v>this.vo. = '' ; //</v>
      </c>
    </row>
    <row r="87" spans="1:22" x14ac:dyDescent="0.4">
      <c r="A87" s="1" t="s">
        <v>106</v>
      </c>
      <c r="D87" s="1" t="s">
        <v>5</v>
      </c>
      <c r="I87" s="1" t="str">
        <f t="shared" si="19"/>
        <v xml:space="preserve">///&lt;summary&gt;
///
///&lt;/summary&gt;
public   {get; set;}
</v>
      </c>
      <c r="J87" s="1" t="str">
        <f t="shared" si="20"/>
        <v xml:space="preserve"> AND t1. = @</v>
      </c>
      <c r="K87" s="1" t="str">
        <f t="shared" si="21"/>
        <v>t1.        AS ,</v>
      </c>
      <c r="L87" s="1" t="str">
        <f t="shared" si="22"/>
        <v>,</v>
      </c>
      <c r="M87" s="1" t="str">
        <f t="shared" si="23"/>
        <v>,@</v>
      </c>
      <c r="N87" s="1" t="str">
        <f t="shared" si="24"/>
        <v xml:space="preserve"> = @, </v>
      </c>
      <c r="O87" s="1" t="str">
        <f t="shared" si="25"/>
        <v>error += ExcelUtil.CheckValue(excelVo. , "", false, (null, null, ), (true, false, false), (false, false));</v>
      </c>
      <c r="P87" s="1" t="str">
        <f t="shared" si="26"/>
        <v>excelVo. = StringUtil.IsNotEmpty(ExcelUtil.GetCell(sheet, i, j).ToString().TrimEnd())? ExcelUtil.GetCell(sheet, i, j).ToString().TrimEnd().ToUpper():"";j++;//</v>
      </c>
      <c r="Q87" s="1" t="str">
        <f t="shared" si="27"/>
        <v>ExcelUtil.SetContent(sheet, row, column++, (string)item[""]);</v>
      </c>
      <c r="R87" s="1" t="str">
        <f t="shared" si="28"/>
        <v>paramDt.Add("@" ,  );//VARCHAR</v>
      </c>
      <c r="S87" s="1" t="str">
        <f t="shared" si="29"/>
        <v>paramDt.Add("@" , master. );//</v>
      </c>
      <c r="T87" s="1" t="str">
        <f t="shared" si="18"/>
        <v>{ name: '' , sort: '' },</v>
      </c>
      <c r="U87" s="1" t="str">
        <f t="shared" si="30"/>
        <v>"":"",</v>
      </c>
      <c r="V87" s="1" t="str">
        <f t="shared" si="31"/>
        <v>this.vo. = '' ; //</v>
      </c>
    </row>
    <row r="88" spans="1:22" x14ac:dyDescent="0.4">
      <c r="A88" s="1" t="s">
        <v>106</v>
      </c>
      <c r="D88" s="1" t="s">
        <v>5</v>
      </c>
      <c r="I88" s="1" t="str">
        <f t="shared" si="19"/>
        <v xml:space="preserve">///&lt;summary&gt;
///
///&lt;/summary&gt;
public   {get; set;}
</v>
      </c>
      <c r="J88" s="1" t="str">
        <f t="shared" si="20"/>
        <v xml:space="preserve"> AND t1. = @</v>
      </c>
      <c r="K88" s="1" t="str">
        <f t="shared" si="21"/>
        <v>t1.        AS ,</v>
      </c>
      <c r="L88" s="1" t="str">
        <f t="shared" si="22"/>
        <v>,</v>
      </c>
      <c r="M88" s="1" t="str">
        <f t="shared" si="23"/>
        <v>,@</v>
      </c>
      <c r="N88" s="1" t="str">
        <f t="shared" si="24"/>
        <v xml:space="preserve"> = @, </v>
      </c>
      <c r="O88" s="1" t="str">
        <f t="shared" si="25"/>
        <v>error += ExcelUtil.CheckValue(excelVo. , "", false, (null, null, ), (true, false, false), (false, false));</v>
      </c>
      <c r="P88" s="1" t="str">
        <f t="shared" si="26"/>
        <v>excelVo. = StringUtil.IsNotEmpty(ExcelUtil.GetCell(sheet, i, j).ToString().TrimEnd())? ExcelUtil.GetCell(sheet, i, j).ToString().TrimEnd().ToUpper():"";j++;//</v>
      </c>
      <c r="Q88" s="1" t="str">
        <f t="shared" si="27"/>
        <v>ExcelUtil.SetContent(sheet, row, column++, (string)item[""]);</v>
      </c>
      <c r="R88" s="1" t="str">
        <f t="shared" si="28"/>
        <v>paramDt.Add("@" ,  );//VARCHAR</v>
      </c>
      <c r="S88" s="1" t="str">
        <f t="shared" si="29"/>
        <v>paramDt.Add("@" , master. );//</v>
      </c>
      <c r="T88" s="1" t="str">
        <f t="shared" si="18"/>
        <v>{ name: '' , sort: '' },</v>
      </c>
      <c r="U88" s="1" t="str">
        <f t="shared" si="30"/>
        <v>"":"",</v>
      </c>
      <c r="V88" s="1" t="str">
        <f t="shared" si="31"/>
        <v>this.vo. = '' ; //</v>
      </c>
    </row>
    <row r="89" spans="1:22" x14ac:dyDescent="0.4">
      <c r="A89" s="1" t="s">
        <v>106</v>
      </c>
      <c r="D89" s="1" t="s">
        <v>6</v>
      </c>
    </row>
    <row r="90" spans="1:22" x14ac:dyDescent="0.4">
      <c r="A90" s="1" t="s">
        <v>106</v>
      </c>
      <c r="D90" s="1" t="s">
        <v>5</v>
      </c>
    </row>
    <row r="91" spans="1:22" x14ac:dyDescent="0.4">
      <c r="A91" s="1" t="s">
        <v>88</v>
      </c>
      <c r="D91" s="1" t="s">
        <v>6</v>
      </c>
    </row>
    <row r="92" spans="1:22" x14ac:dyDescent="0.4">
      <c r="A92" s="1" t="s">
        <v>88</v>
      </c>
      <c r="D92" s="1" t="s">
        <v>5</v>
      </c>
    </row>
    <row r="93" spans="1:22" x14ac:dyDescent="0.4">
      <c r="A93" s="1" t="s">
        <v>88</v>
      </c>
      <c r="D93" s="1" t="s">
        <v>5</v>
      </c>
    </row>
    <row r="94" spans="1:22" x14ac:dyDescent="0.4">
      <c r="D94" s="1" t="s">
        <v>5</v>
      </c>
    </row>
    <row r="95" spans="1:22" x14ac:dyDescent="0.4">
      <c r="D95" s="1" t="s">
        <v>5</v>
      </c>
    </row>
    <row r="96" spans="1:22" x14ac:dyDescent="0.4">
      <c r="D96" s="1" t="s">
        <v>5</v>
      </c>
    </row>
    <row r="97" spans="4:4" x14ac:dyDescent="0.4">
      <c r="D97" s="1" t="s">
        <v>9</v>
      </c>
    </row>
    <row r="98" spans="4:4" x14ac:dyDescent="0.4">
      <c r="D98" s="1" t="s">
        <v>5</v>
      </c>
    </row>
    <row r="99" spans="4:4" x14ac:dyDescent="0.4">
      <c r="D99" s="1" t="s">
        <v>9</v>
      </c>
    </row>
    <row r="100" spans="4:4" x14ac:dyDescent="0.4">
      <c r="D100" s="1" t="s">
        <v>5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變數表</vt:lpstr>
      <vt:lpstr>考核區分設定檔</vt:lpstr>
      <vt:lpstr>Diagram資料</vt:lpstr>
      <vt:lpstr>開捆指示檔</vt:lpstr>
      <vt:lpstr>下櫃指示檔</vt:lpstr>
      <vt:lpstr>MOD搬入紀錄檔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chen</dc:creator>
  <cp:lastModifiedBy>max chen</cp:lastModifiedBy>
  <dcterms:created xsi:type="dcterms:W3CDTF">2024-03-13T02:52:00Z</dcterms:created>
  <dcterms:modified xsi:type="dcterms:W3CDTF">2026-07-15T10:47:52Z</dcterms:modified>
</cp:coreProperties>
</file>